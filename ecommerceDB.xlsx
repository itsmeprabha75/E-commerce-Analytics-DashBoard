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91951\Downloads\"/>
    </mc:Choice>
  </mc:AlternateContent>
  <xr:revisionPtr revIDLastSave="0" documentId="8_{8D446454-75A1-46AD-A364-AB3A1785DC6D}" xr6:coauthVersionLast="47" xr6:coauthVersionMax="47" xr10:uidLastSave="{00000000-0000-0000-0000-000000000000}"/>
  <bookViews>
    <workbookView xWindow="-108" yWindow="-108" windowWidth="23256" windowHeight="12456" activeTab="4" xr2:uid="{346724B3-1C49-40AE-AA36-C77CF5D6DD09}"/>
  </bookViews>
  <sheets>
    <sheet name="Pivots" sheetId="5" r:id="rId1"/>
    <sheet name="Pivot for chart2" sheetId="9" r:id="rId2"/>
    <sheet name="Data" sheetId="1" r:id="rId3"/>
    <sheet name="Questions &amp; KPIs" sheetId="2" r:id="rId4"/>
    <sheet name="Dashboard" sheetId="3" r:id="rId5"/>
    <sheet name="Logo &amp; Colors" sheetId="4" r:id="rId6"/>
  </sheets>
  <definedNames>
    <definedName name="_xlchart.v5.0" hidden="1">Pivots!$L$75:$M$75</definedName>
    <definedName name="_xlchart.v5.1" hidden="1">Pivots!$L$76:$M$133</definedName>
    <definedName name="_xlchart.v5.2" hidden="1">Pivots!$N$75</definedName>
    <definedName name="_xlchart.v5.3" hidden="1">Pivots!$N$76:$N$133</definedName>
    <definedName name="_xlchart.v5.4" hidden="1">Pivots!$G$75:$H$75</definedName>
    <definedName name="_xlchart.v5.5" hidden="1">Pivots!$G$76:$H$133</definedName>
    <definedName name="_xlchart.v5.6" hidden="1">Pivots!$I$75</definedName>
    <definedName name="_xlchart.v5.7" hidden="1">Pivots!$I$76:$I$133</definedName>
    <definedName name="Slicer_Gender_Value">#N/A</definedName>
    <definedName name="Slicer_Order_Mode">#N/A</definedName>
  </definedNames>
  <calcPr calcId="191029"/>
  <pivotCaches>
    <pivotCache cacheId="0" r:id="rId7"/>
  </pivotCaches>
  <fileRecoveryPr repairLoad="1"/>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9" l="1"/>
  <c r="K2" i="9"/>
  <c r="L2" i="9"/>
  <c r="I2" i="9"/>
  <c r="I3" i="9"/>
  <c r="J3" i="9"/>
  <c r="K3" i="9"/>
  <c r="L3" i="9"/>
  <c r="I4" i="9"/>
  <c r="J4" i="9"/>
  <c r="K4" i="9"/>
  <c r="L4" i="9"/>
  <c r="I5" i="9"/>
  <c r="J5" i="9"/>
  <c r="K5" i="9"/>
  <c r="L5" i="9"/>
  <c r="I6" i="9"/>
  <c r="J6" i="9"/>
  <c r="K6" i="9"/>
  <c r="L6" i="9"/>
  <c r="I7" i="9"/>
  <c r="J7" i="9"/>
  <c r="K7" i="9"/>
  <c r="L7" i="9"/>
  <c r="H4" i="9"/>
  <c r="H5" i="9"/>
  <c r="H6" i="9"/>
  <c r="H7" i="9"/>
  <c r="H3" i="9"/>
  <c r="K5" i="5"/>
  <c r="J5" i="5"/>
  <c r="I5" i="5"/>
  <c r="H5" i="5"/>
  <c r="G5"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<sst xmlns="http://schemas.openxmlformats.org/spreadsheetml/2006/main" count="14912" uniqueCount="2582">
  <si>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</si>
  <si>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</si>
  <si>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</si>
  <si>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</si>
  <si>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</si>
  <si>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</si>
  <si>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</si>
  <si>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</si>
  <si>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</si>
  <si>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</si>
  <si>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</si>
  <si>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</si>
  <si>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</si>
  <si>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</si>
  <si>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</si>
  <si>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</si>
  <si>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</si>
  <si>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</si>
  <si>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</si>
  <si>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</si>
  <si>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</si>
  <si>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</si>
  <si>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</si>
  <si>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</si>
  <si>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</si>
  <si>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</si>
  <si>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</si>
  <si>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</si>
  <si>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</si>
  <si>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</si>
  <si>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</si>
  <si>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</si>
  <si>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</si>
  <si>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</si>
  <si>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</si>
  <si>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</si>
  <si>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</si>
  <si>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</si>
  <si>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</si>
  <si>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</si>
  <si>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</si>
  <si>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</si>
  <si>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</si>
  <si>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</si>
  <si>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</si>
  <si>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</si>
  <si>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</si>
  <si>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</si>
  <si>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</si>
  <si>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</si>
  <si>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</si>
  <si>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</si>
  <si>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</si>
  <si>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</si>
  <si>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</si>
  <si>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</si>
  <si>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</si>
  <si>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</si>
  <si>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</si>
  <si>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</si>
  <si>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</si>
  <si>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</si>
  <si>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</si>
  <si>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</si>
  <si>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</si>
  <si>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</si>
  <si>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</si>
  <si>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</si>
  <si>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</si>
  <si>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</si>
  <si>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</si>
  <si>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</si>
  <si>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</si>
  <si>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</si>
  <si>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</si>
  <si>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</si>
  <si>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</si>
  <si>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</si>
  <si>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</si>
  <si>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</si>
  <si>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</si>
  <si>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</si>
  <si>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</si>
  <si>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</si>
  <si>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</si>
  <si>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</si>
  <si>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</si>
  <si>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</si>
  <si>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</si>
  <si>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</si>
  <si>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</si>
  <si>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</si>
  <si>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</si>
  <si>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</si>
  <si>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</si>
  <si>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</si>
  <si>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</si>
  <si>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</si>
  <si>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</si>
  <si>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</si>
  <si>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</si>
  <si>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</si>
  <si>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</si>
  <si>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</si>
  <si>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</si>
  <si>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</si>
  <si>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</si>
  <si>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</si>
  <si>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</si>
  <si>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</si>
  <si>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</si>
  <si>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</si>
  <si>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</si>
  <si>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</si>
  <si>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</si>
  <si>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</si>
  <si>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</si>
  <si>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</si>
  <si>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</si>
  <si>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</si>
  <si>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</si>
  <si>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</si>
  <si>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</si>
  <si>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</si>
  <si>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</si>
  <si>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</si>
  <si>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</si>
  <si>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</si>
  <si>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</si>
  <si>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</si>
  <si>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</si>
  <si>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</si>
  <si>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</si>
  <si>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</si>
  <si>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</si>
  <si>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</si>
  <si>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</si>
  <si>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</si>
  <si>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</si>
  <si>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</si>
  <si>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</si>
  <si>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</si>
  <si>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</si>
  <si>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</si>
  <si>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</si>
  <si>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</si>
  <si>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</si>
  <si>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</si>
  <si>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</si>
  <si>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</si>
  <si>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</si>
  <si>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</si>
  <si>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</si>
  <si>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</si>
  <si>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</si>
  <si>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</si>
  <si>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</si>
  <si>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</si>
  <si>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</si>
  <si>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</si>
  <si>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</si>
  <si>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</si>
  <si>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</si>
  <si>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</si>
  <si>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</si>
  <si>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</si>
  <si>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</si>
  <si>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</si>
  <si>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</si>
  <si>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</si>
  <si>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</si>
  <si>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</si>
  <si>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</si>
  <si>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</si>
  <si>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</si>
  <si>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</si>
  <si>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</si>
  <si>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</si>
  <si>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</si>
  <si>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</si>
  <si>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</si>
  <si>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</si>
  <si>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</si>
  <si>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</si>
  <si>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</si>
  <si>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</si>
  <si>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</si>
  <si>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</si>
  <si>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</si>
  <si>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</si>
  <si>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</si>
  <si>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</si>
  <si>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</si>
  <si>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</si>
  <si>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</si>
  <si>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</si>
  <si>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</si>
  <si>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</si>
  <si>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</si>
  <si>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</si>
  <si>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</si>
  <si>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</si>
  <si>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</si>
  <si>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</si>
  <si>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</si>
  <si>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</si>
  <si>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</si>
  <si>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</si>
  <si>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</si>
  <si>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</si>
  <si>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</si>
  <si>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</si>
  <si>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</si>
  <si>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</si>
  <si>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</si>
  <si>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</si>
  <si>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</si>
  <si>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</si>
  <si>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</si>
  <si>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</si>
  <si>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</si>
  <si>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</si>
  <si>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</si>
  <si>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</si>
  <si>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</si>
  <si>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</si>
  <si>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</si>
  <si>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</si>
  <si>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</si>
  <si>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</si>
  <si>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</si>
  <si>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</si>
  <si>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</si>
  <si>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</si>
  <si>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</si>
  <si>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</si>
  <si>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</si>
  <si>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</si>
  <si>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</si>
  <si>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</si>
  <si>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</si>
  <si>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</si>
  <si>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</si>
  <si>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</si>
  <si>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</si>
  <si>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</si>
  <si>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</si>
  <si>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</si>
  <si>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</si>
  <si>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</si>
  <si>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</si>
  <si>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</si>
  <si>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</si>
  <si>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</si>
  <si>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</si>
  <si>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</si>
  <si>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</si>
  <si>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</si>
  <si>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</si>
  <si>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</si>
  <si>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</si>
  <si>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</si>
  <si>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</si>
  <si>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</si>
  <si>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</si>
  <si>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</si>
  <si>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</si>
  <si>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</si>
  <si>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</si>
  <si>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</si>
  <si>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</si>
  <si>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</si>
  <si>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</si>
  <si>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</si>
  <si>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</si>
  <si>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</si>
  <si>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</si>
  <si>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</si>
  <si>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</si>
  <si>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</si>
  <si>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</si>
  <si>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</si>
  <si>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</si>
  <si>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</si>
  <si>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</si>
  <si>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</si>
  <si>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</si>
  <si>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</si>
  <si>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</si>
  <si>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</si>
  <si>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</si>
  <si>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</si>
  <si>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</si>
  <si>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</si>
  <si>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</si>
  <si>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</si>
  <si>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</si>
  <si>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</si>
  <si>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</si>
  <si>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</si>
  <si>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</si>
  <si>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</si>
  <si>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</si>
  <si>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</si>
  <si>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</si>
  <si>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</si>
  <si>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</si>
  <si>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</si>
  <si>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</si>
  <si>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</si>
  <si>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</si>
  <si>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</si>
  <si>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</si>
  <si>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</si>
  <si>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</si>
  <si>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</si>
  <si>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</si>
  <si>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</si>
  <si>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</si>
  <si>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</si>
  <si>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</si>
  <si>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</si>
  <si>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</si>
  <si>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</si>
  <si>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</si>
  <si>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</si>
  <si>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</si>
  <si>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</si>
  <si>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</si>
  <si>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</si>
  <si>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</si>
  <si>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</si>
  <si>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</si>
  <si>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</si>
  <si>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</si>
  <si>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</si>
  <si>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</si>
  <si>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</si>
  <si>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</si>
  <si>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</si>
  <si>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</si>
  <si>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</si>
  <si>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</si>
  <si>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</si>
  <si>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</si>
  <si>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</si>
  <si>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</si>
  <si>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</si>
  <si>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</si>
  <si>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</si>
  <si>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</si>
  <si>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</si>
  <si>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</si>
  <si>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</si>
  <si>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</si>
  <si>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</si>
  <si>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</si>
  <si>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</si>
  <si>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</si>
  <si>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</si>
  <si>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</si>
  <si>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</si>
  <si>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</si>
  <si>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</si>
  <si>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</si>
  <si>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</si>
  <si>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</si>
  <si>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</si>
  <si>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</si>
  <si>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</si>
  <si>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</si>
  <si>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</si>
  <si>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</si>
  <si>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</si>
  <si>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</si>
  <si>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</si>
  <si>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</si>
  <si>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</si>
  <si>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</si>
  <si>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</si>
  <si>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</si>
  <si>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</si>
  <si>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</si>
  <si>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</si>
  <si>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</si>
  <si>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</si>
  <si>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</si>
  <si>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</si>
  <si>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</si>
  <si>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</si>
  <si>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</si>
  <si>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</si>
  <si>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</si>
  <si>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</si>
  <si>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</si>
  <si>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</si>
  <si>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</si>
  <si>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</si>
  <si>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</si>
  <si>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</si>
  <si>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</si>
  <si>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</si>
  <si>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</si>
  <si>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</si>
  <si>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</si>
  <si>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</si>
  <si>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</si>
  <si>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</si>
  <si>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</si>
  <si>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</si>
  <si>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</si>
  <si>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</si>
  <si>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</si>
  <si>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</si>
  <si>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</si>
  <si>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</si>
  <si>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</si>
  <si>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</si>
  <si>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</si>
  <si>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</si>
  <si>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</si>
  <si>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</si>
  <si>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</si>
  <si>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</si>
  <si>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</si>
  <si>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</si>
  <si>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</si>
  <si>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</si>
  <si>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</si>
  <si>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</si>
  <si>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</si>
  <si>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</si>
  <si>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</si>
  <si>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</si>
  <si>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</si>
  <si>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</si>
  <si>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</si>
  <si>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</si>
  <si>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</si>
  <si>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</si>
  <si>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</si>
  <si>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</si>
  <si>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</si>
  <si>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</si>
  <si>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</si>
  <si>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</si>
  <si>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</si>
  <si>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</si>
  <si>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</si>
  <si>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</si>
  <si>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</si>
  <si>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</si>
  <si>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</si>
  <si>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</si>
  <si>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</si>
  <si>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</si>
  <si>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</si>
  <si>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</si>
  <si>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</si>
  <si>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</si>
  <si>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</si>
  <si>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</si>
  <si>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</si>
  <si>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</si>
  <si>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</si>
  <si>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</si>
  <si>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</si>
  <si>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</si>
  <si>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</si>
  <si>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</si>
  <si>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</si>
  <si>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</si>
  <si>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</si>
  <si>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</si>
  <si>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</si>
  <si>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</si>
  <si>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</si>
  <si>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</si>
  <si>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</si>
  <si>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</si>
  <si>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</si>
  <si>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</si>
  <si>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</si>
  <si>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</si>
  <si>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</si>
  <si>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</si>
  <si>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</si>
  <si>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</si>
  <si>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</si>
  <si>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</si>
  <si>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</si>
  <si>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</si>
  <si>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</si>
  <si>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</si>
  <si>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</si>
  <si>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</si>
  <si>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</si>
  <si>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</si>
  <si>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</si>
  <si>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</si>
  <si>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</si>
  <si>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</si>
  <si>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</si>
  <si>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</si>
  <si>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</si>
  <si>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</si>
  <si>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</si>
  <si>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</si>
  <si>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</si>
  <si>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</si>
  <si>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</si>
  <si>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</si>
  <si>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</si>
  <si>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</si>
  <si>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</si>
  <si>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</si>
  <si>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</si>
  <si>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</si>
  <si>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</si>
  <si>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</si>
  <si>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</si>
  <si>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</si>
  <si>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</si>
  <si>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</si>
  <si>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</si>
  <si>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</si>
  <si>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</si>
  <si>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</si>
  <si>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</si>
  <si>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</si>
  <si>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</si>
  <si>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</si>
  <si>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</si>
  <si>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</si>
  <si>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</si>
  <si>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</si>
  <si>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</si>
  <si>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</si>
  <si>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</si>
  <si>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</si>
  <si>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</si>
  <si>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</si>
  <si>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</si>
  <si>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</si>
  <si>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</si>
  <si>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</si>
  <si>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</si>
  <si>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</si>
  <si>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</si>
  <si>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</si>
  <si>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</si>
  <si>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</si>
  <si>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</si>
  <si>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</si>
  <si>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</si>
  <si>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</si>
  <si>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</si>
  <si>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</si>
  <si>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</si>
  <si>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</si>
  <si>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</si>
  <si>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</si>
  <si>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</si>
  <si>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</si>
  <si>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</si>
  <si>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</si>
  <si>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</si>
  <si>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</si>
  <si>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</si>
  <si>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</si>
  <si>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</si>
  <si>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</si>
  <si>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</si>
  <si>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</si>
  <si>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</si>
  <si>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</si>
  <si>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</si>
  <si>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</si>
  <si>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</si>
  <si>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</si>
  <si>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</si>
  <si>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</si>
  <si>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</si>
  <si>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</si>
  <si>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</si>
  <si>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</si>
  <si>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</si>
  <si>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</si>
  <si>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</si>
  <si>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</si>
  <si>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</si>
  <si>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</si>
  <si>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</si>
  <si>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</si>
  <si>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</si>
  <si>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</si>
  <si>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</si>
  <si>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</si>
  <si>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</si>
  <si>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</si>
  <si>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</si>
  <si>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</si>
  <si>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</si>
  <si>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</si>
  <si>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</si>
  <si>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</si>
  <si>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</si>
  <si>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</si>
  <si>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</si>
  <si>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</si>
  <si>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</si>
  <si>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</si>
  <si>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</si>
  <si>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</si>
  <si>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</si>
  <si>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</si>
  <si>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</si>
  <si>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</si>
  <si>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</si>
  <si>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</si>
  <si>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</si>
  <si>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</si>
  <si>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</si>
  <si>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</si>
  <si>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</si>
  <si>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</si>
  <si>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</si>
  <si>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</si>
  <si>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</si>
  <si>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</si>
  <si>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</si>
  <si>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</si>
  <si>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</si>
  <si>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</si>
  <si>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</si>
  <si>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</si>
  <si>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</si>
  <si>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</si>
  <si>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</si>
  <si>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</si>
  <si>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</si>
  <si>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</si>
  <si>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</si>
  <si>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</si>
  <si>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</si>
  <si>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</si>
  <si>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</si>
  <si>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</si>
  <si>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</si>
  <si>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</si>
  <si>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</si>
  <si>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</si>
  <si>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</si>
  <si>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</si>
  <si>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</si>
  <si>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</si>
  <si>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</si>
  <si>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</si>
  <si>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</si>
  <si>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</si>
  <si>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</si>
  <si>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</si>
  <si>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</si>
  <si>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</si>
  <si>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</si>
  <si>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</si>
  <si>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</si>
  <si>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</si>
  <si>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</si>
  <si>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</si>
  <si>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</si>
  <si>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</si>
  <si>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</si>
  <si>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</si>
  <si>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</si>
  <si>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</si>
  <si>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</si>
  <si>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</si>
  <si>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</si>
  <si>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</si>
  <si>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</si>
  <si>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</si>
  <si>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</si>
  <si>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</si>
  <si>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</si>
  <si>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</si>
  <si>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</si>
  <si>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</si>
  <si>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</si>
  <si>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</si>
  <si>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</si>
  <si>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</si>
  <si>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</si>
  <si>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</si>
  <si>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</si>
  <si>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</si>
  <si>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</si>
  <si>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</si>
  <si>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</si>
  <si>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</si>
  <si>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</si>
  <si>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</si>
  <si>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</si>
  <si>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</si>
  <si>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</si>
  <si>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</si>
  <si>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</si>
  <si>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</si>
  <si>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</si>
  <si>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</si>
  <si>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</si>
  <si>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</si>
  <si>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</si>
  <si>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</si>
  <si>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</si>
  <si>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</si>
  <si>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</si>
  <si>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</si>
  <si>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</si>
  <si>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</si>
  <si>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</si>
  <si>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</si>
  <si>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</si>
  <si>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</si>
  <si>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</si>
  <si>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</si>
  <si>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</si>
  <si>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</si>
  <si>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</si>
  <si>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</si>
  <si>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</si>
  <si>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</si>
  <si>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</si>
  <si>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</si>
  <si>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</si>
  <si>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</si>
  <si>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</si>
  <si>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</si>
  <si>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</si>
  <si>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</si>
  <si>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</si>
  <si>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</si>
  <si>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</si>
  <si>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</si>
  <si>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</si>
  <si>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</si>
  <si>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</si>
  <si>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</si>
  <si>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</si>
  <si>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</si>
  <si>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</si>
  <si>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</si>
  <si>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</si>
  <si>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</si>
  <si>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</si>
  <si>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</si>
  <si>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</si>
  <si>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</si>
  <si>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</si>
  <si>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</si>
  <si>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</si>
  <si>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</si>
  <si>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</si>
  <si>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</si>
  <si>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</si>
  <si>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</si>
  <si>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</si>
  <si>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</si>
  <si>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</si>
  <si>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</si>
  <si>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</si>
  <si>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</si>
  <si>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</si>
  <si>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</si>
  <si>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</si>
  <si>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</si>
  <si>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</si>
  <si>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</si>
  <si>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</si>
  <si>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</si>
  <si>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</si>
  <si>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</si>
  <si>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</si>
  <si>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</si>
  <si>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</si>
  <si>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</si>
  <si>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</si>
  <si>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</si>
  <si>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</si>
  <si>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</si>
  <si>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</si>
  <si>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</si>
  <si>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</si>
  <si>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</si>
  <si>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</si>
  <si>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</si>
  <si>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</si>
  <si>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</si>
  <si>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</si>
  <si>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</si>
  <si>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</si>
  <si>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</si>
  <si>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</si>
  <si>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</si>
  <si>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</si>
  <si>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</si>
  <si>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</si>
  <si>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</si>
  <si>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</si>
  <si>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</si>
  <si>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</si>
  <si>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</si>
  <si>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</si>
  <si>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</si>
  <si>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</si>
  <si>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</si>
  <si>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</si>
  <si>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</si>
  <si>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</si>
  <si>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</si>
  <si>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</si>
  <si>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</si>
  <si>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</si>
  <si>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</si>
  <si>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</si>
  <si>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</si>
  <si>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</si>
  <si>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</si>
  <si>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</si>
  <si>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</si>
  <si>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</si>
  <si>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</si>
  <si>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</si>
  <si>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</si>
  <si>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</si>
  <si>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</si>
  <si>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</si>
  <si>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</si>
  <si>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</si>
  <si>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</si>
  <si>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</si>
  <si>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</si>
  <si>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</si>
  <si>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</si>
  <si>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</si>
  <si>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</si>
  <si>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</si>
  <si>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</si>
  <si>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</si>
  <si>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</si>
  <si>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</si>
  <si>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</si>
  <si>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</si>
  <si>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</si>
  <si>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</si>
  <si>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</si>
  <si>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</si>
  <si>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</si>
  <si>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</si>
  <si>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</si>
  <si>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</si>
  <si>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</si>
  <si>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</si>
  <si>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</si>
  <si>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</si>
  <si>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</si>
  <si>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</si>
  <si>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</si>
  <si>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</si>
  <si>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</si>
  <si>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</si>
  <si>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</si>
  <si>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</si>
  <si>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</si>
  <si>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</si>
  <si>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</si>
  <si>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</si>
  <si>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</si>
  <si>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</si>
  <si>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</si>
  <si>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</si>
  <si>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</si>
  <si>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</si>
  <si>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</si>
  <si>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</si>
  <si>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</si>
  <si>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</si>
  <si>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</si>
  <si>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</si>
  <si>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</si>
  <si>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</si>
  <si>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</si>
  <si>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</si>
  <si>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</si>
  <si>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</si>
  <si>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</si>
  <si>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</si>
  <si>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</si>
  <si>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</si>
  <si>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</si>
  <si>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</si>
  <si>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</si>
  <si>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</si>
  <si>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</si>
  <si>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</si>
  <si>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</si>
  <si>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</si>
  <si>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</si>
  <si>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</si>
  <si>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</si>
  <si>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</si>
  <si>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</si>
  <si>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</si>
  <si>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</si>
  <si>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</si>
  <si>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</si>
  <si>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</si>
  <si>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</si>
  <si>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</si>
  <si>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</si>
  <si>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</si>
  <si>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</si>
  <si>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</si>
  <si>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</si>
  <si>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</si>
  <si>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</si>
  <si>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</si>
  <si>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</si>
  <si>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</si>
  <si>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</si>
  <si>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</si>
  <si>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</si>
  <si>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</si>
  <si>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</si>
  <si>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</si>
  <si>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</si>
  <si>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</si>
  <si>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</si>
  <si>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</si>
  <si>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</si>
  <si>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</si>
  <si>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</si>
  <si>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</si>
  <si>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</si>
  <si>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</si>
  <si>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</si>
  <si>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</si>
  <si>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</si>
  <si>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</si>
  <si>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</si>
  <si>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</si>
  <si>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</si>
  <si>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</si>
  <si>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</si>
  <si>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</si>
  <si>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</si>
  <si>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</si>
  <si>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</si>
  <si>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</si>
  <si>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</si>
  <si>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</si>
  <si>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</si>
  <si>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</si>
  <si>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</si>
  <si>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</si>
  <si>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</si>
  <si>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</si>
  <si>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</si>
  <si>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</si>
  <si>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</si>
  <si>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</si>
  <si>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</si>
  <si>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</si>
  <si>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</si>
  <si>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</si>
  <si>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</si>
  <si>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</si>
  <si>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</si>
  <si>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</si>
  <si>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</si>
  <si>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</si>
  <si>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</si>
  <si>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</si>
  <si>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</si>
  <si>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</si>
  <si>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</si>
  <si>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</si>
  <si>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</si>
  <si>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</si>
  <si>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</si>
  <si>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</si>
  <si>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</si>
  <si>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</si>
  <si>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</si>
  <si>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</si>
  <si>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</si>
  <si>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</si>
  <si>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</si>
  <si>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</si>
  <si>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</si>
  <si>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</si>
  <si>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</si>
  <si>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</si>
  <si>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</si>
  <si>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</si>
  <si>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</si>
  <si>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</si>
  <si>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</si>
  <si>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</si>
  <si>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</si>
  <si>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</si>
  <si>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</si>
  <si>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</si>
  <si>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</si>
  <si>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</si>
  <si>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</si>
  <si>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</si>
  <si>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</si>
  <si>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</si>
  <si>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</si>
  <si>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</si>
  <si>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</si>
  <si>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</si>
  <si>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</si>
  <si>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</si>
  <si>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</si>
  <si>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</si>
  <si>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</si>
  <si>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</si>
  <si>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</si>
  <si>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</si>
  <si>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</si>
  <si>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</si>
  <si>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</si>
  <si>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</si>
  <si>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</si>
  <si>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</si>
  <si>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</si>
  <si>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</si>
  <si>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</si>
  <si>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</si>
  <si>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</si>
  <si>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</si>
  <si>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</si>
  <si>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</si>
  <si>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</si>
  <si>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</si>
  <si>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</si>
  <si>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</si>
  <si>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</si>
  <si>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</si>
  <si>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</si>
  <si>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</si>
  <si>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</si>
  <si>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</si>
  <si>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</si>
  <si>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</si>
  <si>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</si>
  <si>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</si>
  <si>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</si>
  <si>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</si>
  <si>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</si>
  <si>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</si>
  <si>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</si>
  <si>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</si>
  <si>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</si>
  <si>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</si>
  <si>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</si>
  <si>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</si>
  <si>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</si>
  <si>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</si>
  <si>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</si>
  <si>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</si>
  <si>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</si>
  <si>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</si>
  <si>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</si>
  <si>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</si>
  <si>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</si>
  <si>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</si>
  <si>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</si>
  <si>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</si>
  <si>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</si>
  <si>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</si>
  <si>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</si>
  <si>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</si>
  <si>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</si>
  <si>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</si>
  <si>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</si>
  <si>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</si>
  <si>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</si>
  <si>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</si>
  <si>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</si>
  <si>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</si>
  <si>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</si>
  <si>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</si>
  <si>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</si>
  <si>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</si>
  <si>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</si>
  <si>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</si>
  <si>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</si>
  <si>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</si>
  <si>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</si>
  <si>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</si>
  <si>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</si>
  <si>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</si>
  <si>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</si>
  <si>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</si>
  <si>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</si>
  <si>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</si>
  <si>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</si>
  <si>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</si>
  <si>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</si>
  <si>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</si>
  <si>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</si>
  <si>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</si>
  <si>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</si>
  <si>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</si>
  <si>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</si>
  <si>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</si>
  <si>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</si>
  <si>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</si>
  <si>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</si>
  <si>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</si>
  <si>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</si>
  <si>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</si>
  <si>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</si>
  <si>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</si>
  <si>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</si>
  <si>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</si>
  <si>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</si>
  <si>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</si>
  <si>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</si>
  <si>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</si>
  <si>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</si>
  <si>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</si>
  <si>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</si>
  <si>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</si>
  <si>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</si>
  <si>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</si>
  <si>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</si>
  <si>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</si>
  <si>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</si>
  <si>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</si>
  <si>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</si>
  <si>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</si>
  <si>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</si>
  <si>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</si>
  <si>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</si>
  <si>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</si>
  <si>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</si>
  <si>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</si>
  <si>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</si>
  <si>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</si>
  <si>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</si>
  <si>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</si>
  <si>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</si>
  <si>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</si>
  <si>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</si>
  <si>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</si>
  <si>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</si>
  <si>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</si>
  <si>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</si>
  <si>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</si>
  <si>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</si>
  <si>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</si>
  <si>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</si>
  <si>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</si>
  <si>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</si>
  <si>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</si>
  <si>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</si>
  <si>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</si>
  <si>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</si>
  <si>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</si>
  <si>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</si>
  <si>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</si>
  <si>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</si>
  <si>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</si>
  <si>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</si>
  <si>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</si>
  <si>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</si>
  <si>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</si>
  <si>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</si>
  <si>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</si>
  <si>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</si>
  <si>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</si>
  <si>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</si>
  <si>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</si>
  <si>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</si>
  <si>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</si>
  <si>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</si>
  <si>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</si>
  <si>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</si>
  <si>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</si>
  <si>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</si>
  <si>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</si>
  <si>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</si>
  <si>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</si>
  <si>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</si>
  <si>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</si>
  <si>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</si>
  <si>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</si>
  <si>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</si>
  <si>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</si>
  <si>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</si>
  <si>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</si>
  <si>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</si>
  <si>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</si>
  <si>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</si>
  <si>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</si>
  <si>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</si>
  <si>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</si>
  <si>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</si>
  <si>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</si>
  <si>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</si>
  <si>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</si>
  <si>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</si>
  <si>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</si>
  <si>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</si>
  <si>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</si>
  <si>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</si>
  <si>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</si>
  <si>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</si>
  <si>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</si>
  <si>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</si>
  <si>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</si>
  <si>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</si>
  <si>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</si>
  <si>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</si>
  <si>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</si>
  <si>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</si>
  <si>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</si>
  <si>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</si>
  <si>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</si>
  <si>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</si>
  <si>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</si>
  <si>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</si>
  <si>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</si>
  <si>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</si>
  <si>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</si>
  <si>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</si>
  <si>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</si>
  <si>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</si>
  <si>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</si>
  <si>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</si>
  <si>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</si>
  <si>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</si>
  <si>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</si>
  <si>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</si>
  <si>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</si>
  <si>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</si>
  <si>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</si>
  <si>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</si>
  <si>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</si>
  <si>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</si>
  <si>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</si>
  <si>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</si>
  <si>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</si>
  <si>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</si>
  <si>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</si>
  <si>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</si>
  <si>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</si>
  <si>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</si>
  <si>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</si>
  <si>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</si>
  <si>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</si>
  <si>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</si>
  <si>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</si>
  <si>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</si>
  <si>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</si>
  <si>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</si>
  <si>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</si>
  <si>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</si>
  <si>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</si>
  <si>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</si>
  <si>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</si>
  <si>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</si>
  <si>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</si>
  <si>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</si>
  <si>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</si>
  <si>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</si>
  <si>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</si>
  <si>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</si>
  <si>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</si>
  <si>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</si>
  <si>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</si>
  <si>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</si>
  <si>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</si>
  <si>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</si>
  <si>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</si>
  <si>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</si>
  <si>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</si>
  <si>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</si>
  <si>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</si>
  <si>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</si>
  <si>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</si>
  <si>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</si>
  <si>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</si>
  <si>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</si>
  <si>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</si>
  <si>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</si>
  <si>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</si>
  <si>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</si>
  <si>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</si>
  <si>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</si>
  <si>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</si>
  <si>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</si>
  <si>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</si>
  <si>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</si>
  <si>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</si>
  <si>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</si>
  <si>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</si>
  <si>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</si>
  <si>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</si>
  <si>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</si>
  <si>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</si>
  <si>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</si>
  <si>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</si>
  <si>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</si>
  <si>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</si>
  <si>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</si>
  <si>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</si>
  <si>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</si>
  <si>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</si>
  <si>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</si>
  <si>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</si>
  <si>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</si>
  <si>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</si>
  <si>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</si>
  <si>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</si>
  <si>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</si>
  <si>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</si>
  <si>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</si>
  <si>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</si>
  <si>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</si>
  <si>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</si>
  <si>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</si>
  <si>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</si>
  <si>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</si>
  <si>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</si>
  <si>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</si>
  <si>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</si>
  <si>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</si>
  <si>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</si>
  <si>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</si>
  <si>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</si>
  <si>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</si>
  <si>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</si>
  <si>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</si>
  <si>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</si>
  <si>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</si>
  <si>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</si>
  <si>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</si>
  <si>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</si>
  <si>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</si>
  <si>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</si>
  <si>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</si>
  <si>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</si>
  <si>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</si>
  <si>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</si>
  <si>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</si>
  <si>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</si>
  <si>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</si>
  <si>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</si>
  <si>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</si>
  <si>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</si>
  <si>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</si>
  <si>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</si>
  <si>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</si>
  <si>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</si>
  <si>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</si>
  <si>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</si>
  <si>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</si>
  <si>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</si>
  <si>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</si>
  <si>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</si>
  <si>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</si>
  <si>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</si>
  <si>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</si>
  <si>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</si>
  <si>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</si>
  <si>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</si>
  <si>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</si>
  <si>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</si>
  <si>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</si>
  <si>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</si>
  <si>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</si>
  <si>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</si>
  <si>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</si>
  <si>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</si>
  <si>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</si>
  <si>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</si>
  <si>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</si>
  <si>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</si>
  <si>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</si>
  <si>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</si>
  <si>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</si>
  <si>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</si>
  <si>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</si>
  <si>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</si>
  <si>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</si>
  <si>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</si>
  <si>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</si>
  <si>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</si>
  <si>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</si>
  <si>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</si>
  <si>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</si>
  <si>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</si>
  <si>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</si>
  <si>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</si>
  <si>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</si>
  <si>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</si>
  <si>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</si>
  <si>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</si>
  <si>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</si>
  <si>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</si>
  <si>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</si>
  <si>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</si>
  <si>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</si>
  <si>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</si>
  <si>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</si>
  <si>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</si>
  <si>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</si>
  <si>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</si>
  <si>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</si>
  <si>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</si>
  <si>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</si>
  <si>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</si>
  <si>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</si>
  <si>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</si>
  <si>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</si>
  <si>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</si>
  <si>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</si>
  <si>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</si>
  <si>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</si>
  <si>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</si>
  <si>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</si>
  <si>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</si>
  <si>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</si>
  <si>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</si>
  <si>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</si>
  <si>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</si>
  <si>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</si>
  <si>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</si>
  <si>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</si>
  <si>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</si>
  <si>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</si>
  <si>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</si>
  <si>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</si>
  <si>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</si>
  <si>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</si>
  <si>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</si>
  <si>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</si>
  <si>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</si>
  <si>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</si>
  <si>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</si>
  <si>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</si>
  <si>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</si>
  <si>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</si>
  <si>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</si>
  <si>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</si>
  <si>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</si>
  <si>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</si>
  <si>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</si>
  <si>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</si>
  <si>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</si>
  <si>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</si>
  <si>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</si>
  <si>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</si>
  <si>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</si>
  <si>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</si>
  <si>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</si>
  <si>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</si>
  <si>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</si>
  <si>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</si>
  <si>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</si>
  <si>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</si>
  <si>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</si>
  <si>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</si>
  <si>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</si>
  <si>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</si>
  <si>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</si>
  <si>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</si>
  <si>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</si>
  <si>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</si>
  <si>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</si>
  <si>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</si>
  <si>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</si>
  <si>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</si>
  <si>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</si>
  <si>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</si>
  <si>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</si>
  <si>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</si>
  <si>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</si>
  <si>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</si>
  <si>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</si>
  <si>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</si>
  <si>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</si>
  <si>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</si>
  <si>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</si>
  <si>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</si>
  <si>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</si>
  <si>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</si>
  <si>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</si>
  <si>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</si>
  <si>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</si>
  <si>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</si>
  <si>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</si>
  <si>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</si>
  <si>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</si>
  <si>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</si>
  <si>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</si>
  <si>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</si>
  <si>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</si>
  <si>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</si>
  <si>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</si>
  <si>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</si>
  <si>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</si>
  <si>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</si>
  <si>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</si>
  <si>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</si>
  <si>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</si>
  <si>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</si>
  <si>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</si>
  <si>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</si>
  <si>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</si>
  <si>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</si>
  <si>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</si>
  <si>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</si>
  <si>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</si>
  <si>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</si>
  <si>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</si>
  <si>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</si>
  <si>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</si>
  <si>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</si>
  <si>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</si>
  <si>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</si>
  <si>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</si>
  <si>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</si>
  <si>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</si>
  <si>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</si>
  <si>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</si>
  <si>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</si>
  <si>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</si>
  <si>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</si>
  <si>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</si>
  <si>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</si>
  <si>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</si>
  <si>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</si>
  <si>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</si>
  <si>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</si>
  <si>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</si>
  <si>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</si>
  <si>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</si>
  <si>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</si>
  <si>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</si>
  <si>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</si>
  <si>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</si>
  <si>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</si>
  <si>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</si>
  <si>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</si>
  <si>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</si>
  <si>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</si>
  <si>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</si>
  <si>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</si>
  <si>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</si>
  <si>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</si>
  <si>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</si>
  <si>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</si>
  <si>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</si>
  <si>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</si>
  <si>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</si>
  <si>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</si>
  <si>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</si>
  <si>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</si>
  <si>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</si>
  <si>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</si>
  <si>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</si>
  <si>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</si>
  <si>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</si>
  <si>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</si>
  <si>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</si>
  <si>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</si>
  <si>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</si>
  <si>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</si>
  <si>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</si>
  <si>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</si>
  <si>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</si>
  <si>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</si>
  <si>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</si>
  <si>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</si>
  <si>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</si>
  <si>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</si>
  <si>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</si>
  <si>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</si>
  <si>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</si>
  <si>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</si>
  <si>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</si>
  <si>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</si>
  <si>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</si>
  <si>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</si>
  <si>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</si>
  <si>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</si>
  <si>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</si>
  <si>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</si>
  <si>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</si>
  <si>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</si>
  <si>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</si>
  <si>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</si>
  <si>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</si>
  <si>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</si>
  <si>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</si>
  <si>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</si>
  <si>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</si>
  <si>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</si>
  <si>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</si>
  <si>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</si>
  <si>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</si>
  <si>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</si>
  <si>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</si>
  <si>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</si>
  <si>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</si>
  <si>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</si>
  <si>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</si>
  <si>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</si>
  <si>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</si>
  <si>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</si>
  <si>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</si>
  <si>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</si>
  <si>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</si>
  <si>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</si>
  <si>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</si>
  <si>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</si>
  <si>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</si>
  <si>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</si>
  <si>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</si>
  <si>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</si>
  <si>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</si>
  <si>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</si>
  <si>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</si>
  <si>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</si>
  <si>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</si>
  <si>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</si>
  <si>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</si>
  <si>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</si>
  <si>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</si>
  <si>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</si>
  <si>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</si>
  <si>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</si>
  <si>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</si>
  <si>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</si>
  <si>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</si>
  <si>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</si>
  <si>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</si>
  <si>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</si>
  <si>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</si>
  <si>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</si>
  <si>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</si>
  <si>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</si>
  <si>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</si>
  <si>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</si>
  <si>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</si>
  <si>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</si>
  <si>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</si>
  <si>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</si>
  <si>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</si>
  <si>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</si>
  <si>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</si>
  <si>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</si>
  <si>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</si>
  <si>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</si>
  <si>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</si>
  <si>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</si>
  <si>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</si>
  <si>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</si>
  <si>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</si>
  <si>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</si>
  <si>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</si>
  <si>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</si>
  <si>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</si>
  <si>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</si>
  <si>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</si>
  <si>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</si>
  <si>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</si>
  <si>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</si>
  <si>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</si>
  <si>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</si>
  <si>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</si>
  <si>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</si>
  <si>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</si>
  <si>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</si>
  <si>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</si>
  <si>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</si>
  <si>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</si>
  <si>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</si>
  <si>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</si>
  <si>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</si>
  <si>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</si>
  <si>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</si>
  <si>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</si>
  <si>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</si>
  <si>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</si>
  <si>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</si>
  <si>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</si>
  <si>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</si>
  <si>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</si>
  <si>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</si>
  <si>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</si>
  <si>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</si>
  <si>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</si>
  <si>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</si>
  <si>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</si>
  <si>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</si>
  <si>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</si>
  <si>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</si>
  <si>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</si>
  <si>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</si>
  <si>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</si>
  <si>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</si>
  <si>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</si>
  <si>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</si>
  <si>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</si>
  <si>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</si>
  <si>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</si>
  <si>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</si>
  <si>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</si>
  <si>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</si>
  <si>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</si>
  <si>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</si>
  <si>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</si>
  <si>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</si>
  <si>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</si>
  <si>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</si>
  <si>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</si>
  <si>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</si>
  <si>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</si>
  <si>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</si>
  <si>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</si>
  <si>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</si>
  <si>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</si>
  <si>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</si>
  <si>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</si>
  <si>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</si>
  <si>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</si>
  <si>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</si>
  <si>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</si>
  <si>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</si>
  <si>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</si>
  <si>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</si>
  <si>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</si>
  <si>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</si>
  <si>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</si>
  <si>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</si>
  <si>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</si>
  <si>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</si>
  <si>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</si>
  <si>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</si>
  <si>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</si>
  <si>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</si>
  <si>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</si>
  <si>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</si>
  <si>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</si>
  <si>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</si>
  <si>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</si>
  <si>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</si>
  <si>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</si>
  <si>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</si>
  <si>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</si>
  <si>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</si>
  <si>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</si>
  <si>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</si>
  <si>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</si>
  <si>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</si>
  <si>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</si>
  <si>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</si>
  <si>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</si>
  <si>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</si>
  <si>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</si>
  <si>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</si>
  <si>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</si>
  <si>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</si>
  <si>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</si>
  <si>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</si>
  <si>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</si>
  <si>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</si>
  <si>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</si>
  <si>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</si>
  <si>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</si>
  <si>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</si>
  <si>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</si>
  <si>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</si>
  <si>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</si>
  <si>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</si>
  <si>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</si>
  <si>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</si>
  <si>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</si>
  <si>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</si>
  <si>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</si>
  <si>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</si>
  <si>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</si>
  <si>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</si>
  <si>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</si>
  <si>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</si>
  <si>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</si>
  <si>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</si>
  <si>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</si>
  <si>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</si>
  <si>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</si>
  <si>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</si>
  <si>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</si>
  <si>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</si>
  <si>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</si>
  <si>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</si>
  <si>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</si>
  <si>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</si>
  <si>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</si>
  <si>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</si>
  <si>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</si>
  <si>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</si>
  <si>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</si>
  <si>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</si>
  <si>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</si>
  <si>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</si>
  <si>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</si>
  <si>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</si>
  <si>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</si>
  <si>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</si>
  <si>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</si>
  <si>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</si>
  <si>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</si>
  <si>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</si>
  <si>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</si>
  <si>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</si>
  <si>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</si>
  <si>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</si>
  <si>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</si>
  <si>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</si>
  <si>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</si>
  <si>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</si>
  <si>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</si>
  <si>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</si>
  <si>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</si>
  <si>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</si>
  <si>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</si>
  <si>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</si>
  <si>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</si>
  <si>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</si>
  <si>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</si>
  <si>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</si>
  <si>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</si>
  <si>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</si>
  <si>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</si>
  <si>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</si>
  <si>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</si>
  <si>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</si>
  <si>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</si>
  <si>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</si>
  <si>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</si>
  <si>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</si>
  <si>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</si>
  <si>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</si>
  <si>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</si>
  <si>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</si>
  <si>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</si>
  <si>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</si>
  <si>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</si>
  <si>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</si>
  <si>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</si>
  <si>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</si>
  <si>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</si>
  <si>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</si>
  <si>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</si>
  <si>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</si>
  <si>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</si>
  <si>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</si>
  <si>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</si>
  <si>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</si>
  <si>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</si>
  <si>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</si>
  <si>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</si>
  <si>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</si>
  <si>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</si>
  <si>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</si>
  <si>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</si>
  <si>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</si>
  <si>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</si>
  <si>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</si>
  <si>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</si>
  <si>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</si>
  <si>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</si>
  <si>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</si>
  <si>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</si>
  <si>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</si>
  <si>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</si>
  <si>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</si>
  <si>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</si>
  <si>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</si>
  <si>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</si>
  <si>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</si>
  <si>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</si>
  <si>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</si>
  <si>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</si>
  <si>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</si>
  <si>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</si>
  <si>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</si>
  <si>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</si>
  <si>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</si>
  <si>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</si>
  <si>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</si>
  <si>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</si>
  <si>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</si>
  <si>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</si>
  <si>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</si>
  <si>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</si>
  <si>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</si>
  <si>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</si>
  <si>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</si>
  <si>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</si>
  <si>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</si>
  <si>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</si>
  <si>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</si>
  <si>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</si>
  <si>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</si>
  <si>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</si>
  <si>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</si>
  <si>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</si>
  <si>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</si>
  <si>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</si>
  <si>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</si>
  <si>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</si>
  <si>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</si>
  <si>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</si>
  <si>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</si>
  <si>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</si>
  <si>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</si>
  <si>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</si>
  <si>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</si>
  <si>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</si>
  <si>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</si>
  <si>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</si>
  <si>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</si>
  <si>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</si>
  <si>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</si>
  <si>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</si>
  <si>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</si>
  <si>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</si>
  <si>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</si>
  <si>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</si>
  <si>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</si>
  <si>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</si>
  <si>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</si>
  <si>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</si>
  <si>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</si>
  <si>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</si>
  <si>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</si>
  <si>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</si>
  <si>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</si>
  <si>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</si>
  <si>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</si>
  <si>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</si>
  <si>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</si>
  <si>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</si>
  <si>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</si>
  <si>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</si>
  <si>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</si>
  <si>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</si>
  <si>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</si>
  <si>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</si>
  <si>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</si>
  <si>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</si>
  <si>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</si>
  <si>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</si>
  <si>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</si>
  <si>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</si>
  <si>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</si>
  <si>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</si>
  <si>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</si>
  <si>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</si>
  <si>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</si>
  <si>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</si>
  <si>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</si>
  <si>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</si>
  <si>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</si>
  <si>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</si>
  <si>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</si>
  <si>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</si>
  <si>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</si>
  <si>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</si>
  <si>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</si>
  <si>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</si>
  <si>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</si>
  <si>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</si>
  <si>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</si>
  <si>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</si>
  <si>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</si>
  <si>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</si>
  <si>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</si>
  <si>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</si>
  <si>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</si>
  <si>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</si>
  <si>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</si>
  <si>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</si>
  <si>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</si>
  <si>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</si>
  <si>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</si>
  <si>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</si>
  <si>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</si>
  <si>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</si>
  <si>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</si>
  <si>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</si>
  <si>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</si>
  <si>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</si>
  <si>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</si>
  <si>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</si>
  <si>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</si>
  <si>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</si>
  <si>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</si>
  <si>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</si>
  <si>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</si>
  <si>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</si>
  <si>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</si>
  <si>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</si>
  <si>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</si>
  <si>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</si>
  <si>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</si>
  <si>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</si>
  <si>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</si>
  <si>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</si>
  <si>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</si>
  <si>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</si>
  <si>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</si>
  <si>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</si>
  <si>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</si>
  <si>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</si>
  <si>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</si>
  <si>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</si>
  <si>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</si>
  <si>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</si>
  <si>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</si>
  <si>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</si>
  <si>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</si>
  <si>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</si>
  <si>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</si>
  <si>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</si>
  <si>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</si>
  <si>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</si>
  <si>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</si>
  <si>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</si>
  <si>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</si>
  <si>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</si>
  <si>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</si>
  <si>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</si>
  <si>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</si>
  <si>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</si>
  <si>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</si>
  <si>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</si>
  <si>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</si>
  <si>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</si>
  <si>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</si>
  <si>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</si>
  <si>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</si>
  <si>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</si>
  <si>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</si>
  <si>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</si>
  <si>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</si>
  <si>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</si>
  <si>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</si>
  <si>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</si>
  <si>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</si>
  <si>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</si>
  <si>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</si>
  <si>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</si>
  <si>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</si>
  <si>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</si>
  <si>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</si>
  <si>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</si>
  <si>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</si>
  <si>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</si>
  <si>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</si>
  <si>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</si>
  <si>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</si>
  <si>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</si>
  <si>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</si>
  <si>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</si>
  <si>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</si>
  <si>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</si>
  <si>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</si>
  <si>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</si>
  <si>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</si>
  <si>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</si>
  <si>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</si>
  <si>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</si>
  <si>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</si>
  <si>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</si>
  <si>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</si>
  <si>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</si>
  <si>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</si>
  <si>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</si>
  <si>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</si>
  <si>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</si>
  <si>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</si>
  <si>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</si>
  <si>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</si>
  <si>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</si>
  <si>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</si>
  <si>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</si>
  <si>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</si>
  <si>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</si>
  <si>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</si>
  <si>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</si>
  <si>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</si>
  <si>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</si>
  <si>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</si>
  <si>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</si>
  <si>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</si>
  <si>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</si>
  <si>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</si>
  <si>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</si>
  <si>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</si>
  <si>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</si>
  <si>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</si>
  <si>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</si>
  <si>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</si>
  <si>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</si>
  <si>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</si>
  <si>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</si>
  <si>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</si>
  <si>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</si>
  <si>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</si>
  <si>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</si>
  <si>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</si>
  <si>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</si>
  <si>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</si>
  <si>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</si>
  <si>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</si>
  <si>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</si>
  <si>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</si>
  <si>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</si>
  <si>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</si>
  <si>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</si>
  <si>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</si>
  <si>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</si>
  <si>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</si>
  <si>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</si>
  <si>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</si>
  <si>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</si>
  <si>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</si>
  <si>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</si>
  <si>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</si>
  <si>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</si>
  <si>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</si>
  <si>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</si>
  <si>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</si>
  <si>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</si>
  <si>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</si>
  <si>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</si>
  <si>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</si>
  <si>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</si>
  <si>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</si>
  <si>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</si>
  <si>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</si>
  <si>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</si>
  <si>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</si>
  <si>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</si>
  <si>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</si>
  <si>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</si>
  <si>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</si>
  <si>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</si>
  <si>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</si>
  <si>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</si>
  <si>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</si>
  <si>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</si>
  <si>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</si>
  <si>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</si>
  <si>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</si>
  <si>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</si>
  <si>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</si>
  <si>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</si>
  <si>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</si>
  <si>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</si>
  <si>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</si>
  <si>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</si>
  <si>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</si>
  <si>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</si>
  <si>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</si>
  <si>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</si>
  <si>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</si>
  <si>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</si>
  <si>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</si>
  <si>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</si>
  <si>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</si>
  <si>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</si>
  <si>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</si>
  <si>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</si>
  <si>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</si>
  <si>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</si>
  <si>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</si>
  <si>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</si>
  <si>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</si>
  <si>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</si>
  <si>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</si>
  <si>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</si>
  <si>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</si>
  <si>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</si>
  <si>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</si>
  <si>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</si>
  <si>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</si>
  <si>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</si>
  <si>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</si>
  <si>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</si>
  <si>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</si>
  <si>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</si>
  <si>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</si>
  <si>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</si>
  <si>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</si>
  <si>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</si>
  <si>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</si>
  <si>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</si>
  <si>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</si>
  <si>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</si>
  <si>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</si>
  <si>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</si>
  <si>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</si>
  <si>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</si>
  <si>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</si>
  <si>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</si>
  <si>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</si>
  <si>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</si>
  <si>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</si>
  <si>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</si>
  <si>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</si>
  <si>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</si>
  <si>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</si>
  <si>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</si>
  <si>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</si>
  <si>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</si>
  <si>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</si>
  <si>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</si>
  <si>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</si>
  <si>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</si>
  <si>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</si>
  <si>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</si>
  <si>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</si>
  <si>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</si>
  <si>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</si>
  <si>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</si>
  <si>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</si>
  <si>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</si>
  <si>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</si>
  <si>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</si>
  <si>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</si>
  <si>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</si>
  <si>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</si>
  <si>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</si>
  <si>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</si>
  <si>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</si>
  <si>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</si>
  <si>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</si>
  <si>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</si>
  <si>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</si>
  <si>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</si>
  <si>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</si>
  <si>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</si>
  <si>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</si>
  <si>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</si>
  <si>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</si>
  <si>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</si>
  <si>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</si>
  <si>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</si>
  <si>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</si>
  <si>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</si>
  <si>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</si>
  <si>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</si>
  <si>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</si>
  <si>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</si>
  <si>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</si>
  <si>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</si>
  <si>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</si>
  <si>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</si>
  <si>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</si>
  <si>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</si>
  <si>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</si>
  <si>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</si>
  <si>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</si>
  <si>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</si>
  <si>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</si>
  <si>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</si>
  <si>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</si>
  <si>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</si>
  <si>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</si>
  <si>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</si>
  <si>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</si>
  <si>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</si>
  <si>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</si>
  <si>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</si>
  <si>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</si>
  <si>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</si>
  <si>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</si>
  <si>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</si>
  <si>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</si>
  <si>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</si>
  <si>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</si>
  <si>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</si>
  <si>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</si>
  <si>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</si>
  <si>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</si>
  <si>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</si>
  <si>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</si>
  <si>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</si>
  <si>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</si>
  <si>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</si>
  <si>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</si>
  <si>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</si>
  <si>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</si>
  <si>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</si>
  <si>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</si>
  <si>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</si>
  <si>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</si>
  <si>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</si>
  <si>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</si>
  <si>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</si>
  <si>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</si>
  <si>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</si>
  <si>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</si>
  <si>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</si>
  <si>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</si>
  <si>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</si>
  <si>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</si>
  <si>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</si>
  <si>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</si>
  <si>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</si>
  <si>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</si>
  <si>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</si>
  <si>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</si>
  <si>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</si>
  <si>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</si>
  <si>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</si>
  <si>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</si>
  <si>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</si>
  <si>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</si>
  <si>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</si>
  <si>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</si>
  <si>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</si>
  <si>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</si>
  <si>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</si>
  <si>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</si>
  <si>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</si>
  <si>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</si>
  <si>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</si>
  <si>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</si>
  <si>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</si>
  <si>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</si>
  <si>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</si>
  <si>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</si>
  <si>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</si>
  <si>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</si>
  <si>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</si>
  <si>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</si>
  <si>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</si>
  <si>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</si>
  <si>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</si>
  <si>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</si>
  <si>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</si>
  <si>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</si>
  <si>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</si>
  <si>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</si>
  <si>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</si>
  <si>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</si>
  <si>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</si>
  <si>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</si>
  <si>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</si>
  <si>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</si>
  <si>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</si>
  <si>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</si>
  <si>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</si>
  <si>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</si>
  <si>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</si>
  <si>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</si>
  <si>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</si>
  <si>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</si>
  <si>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</si>
  <si>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</si>
  <si>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</si>
  <si>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</si>
  <si>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</si>
  <si>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</si>
  <si>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</si>
  <si>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</si>
  <si>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</si>
  <si>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</si>
  <si>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</si>
  <si>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</si>
  <si>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</si>
  <si>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</si>
  <si>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</si>
  <si>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</si>
  <si>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</si>
  <si>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</si>
  <si>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</si>
  <si>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</si>
  <si>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</si>
  <si>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</si>
  <si>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</si>
  <si>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</si>
  <si>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</si>
  <si>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</si>
  <si>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</si>
  <si>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</si>
  <si>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</si>
  <si>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</si>
  <si>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</si>
  <si>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</si>
  <si>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</si>
  <si>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</si>
  <si>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</si>
  <si>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</si>
  <si>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</si>
  <si>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</si>
  <si>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</si>
  <si>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</si>
  <si>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</si>
  <si>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</si>
  <si>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</si>
  <si>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</si>
  <si>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</si>
  <si>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</si>
  <si>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</si>
  <si>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</si>
  <si>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</si>
  <si>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</si>
  <si>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</si>
  <si>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</si>
  <si>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</si>
  <si>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</si>
  <si>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</si>
  <si>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</si>
  <si>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</si>
  <si>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</si>
  <si>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</si>
  <si>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</si>
  <si>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</si>
  <si>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</si>
  <si>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</si>
  <si>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</si>
  <si>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</si>
  <si>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</si>
  <si>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</si>
  <si>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</si>
  <si>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</si>
  <si>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</si>
  <si>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</si>
  <si>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</si>
  <si>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</si>
  <si>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</si>
  <si>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</si>
  <si>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</si>
  <si>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</si>
  <si>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</si>
  <si>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</si>
  <si>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</si>
  <si>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</si>
  <si>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</si>
  <si>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</si>
  <si>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</si>
  <si>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</si>
  <si>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</si>
  <si>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</si>
  <si>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</si>
  <si>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</si>
  <si>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</si>
  <si>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</si>
  <si>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</si>
  <si>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</si>
  <si>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</si>
  <si>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</si>
  <si>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</si>
  <si>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</si>
  <si>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</si>
  <si>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</si>
  <si>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</si>
  <si>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</si>
  <si>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</si>
  <si>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</si>
  <si>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</si>
  <si>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</si>
  <si>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</si>
  <si>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</si>
  <si>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</si>
  <si>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</si>
  <si>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</si>
  <si>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</si>
  <si>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</si>
  <si>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</si>
  <si>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</si>
  <si>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</si>
  <si>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</si>
  <si>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</si>
  <si>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</si>
  <si>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</si>
  <si>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</si>
  <si>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</si>
  <si>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</si>
  <si>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</si>
  <si>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</si>
  <si>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</si>
  <si>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</si>
  <si>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</si>
  <si>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</si>
  <si>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</si>
  <si>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</si>
  <si>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</si>
  <si>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</si>
  <si>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</si>
  <si>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</si>
  <si>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</si>
  <si>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</si>
  <si>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</si>
  <si>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</si>
  <si>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</si>
  <si>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</si>
  <si>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</si>
  <si>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</si>
  <si>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</si>
  <si>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</si>
  <si>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</si>
  <si>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</si>
  <si>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</si>
  <si>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</si>
  <si>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</si>
  <si>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</si>
  <si>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</si>
  <si>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</si>
  <si>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</si>
  <si>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</si>
  <si>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</si>
  <si>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</si>
  <si>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</si>
  <si>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</si>
  <si>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</si>
  <si>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</si>
  <si>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</si>
  <si>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</si>
  <si>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</si>
  <si>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</si>
  <si>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</si>
  <si>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</si>
  <si>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</si>
  <si>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</si>
  <si>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</si>
  <si>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</si>
  <si>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</si>
  <si>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</si>
  <si>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</si>
  <si>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Row Labels</t>
  </si>
  <si>
    <t>Grand Total</t>
  </si>
  <si>
    <t>Count of TX ID</t>
  </si>
  <si>
    <t>Sum of Quantity</t>
  </si>
  <si>
    <t>Sum of Amount</t>
  </si>
  <si>
    <t>Average of Rating C</t>
  </si>
  <si>
    <t>Average of Days to Deliver</t>
  </si>
  <si>
    <t>Values to display</t>
  </si>
  <si>
    <t>🛒Orders</t>
  </si>
  <si>
    <t>👕Quantity</t>
  </si>
  <si>
    <t>💰Amount</t>
  </si>
  <si>
    <t>⭐Avg_Rating</t>
  </si>
  <si>
    <t>🗓️Days to Deliver</t>
  </si>
  <si>
    <t>Female</t>
  </si>
  <si>
    <t>Male</t>
  </si>
  <si>
    <t>Other</t>
  </si>
  <si>
    <t>Unknown</t>
  </si>
  <si>
    <t>Column Labels</t>
  </si>
  <si>
    <t>to matrix</t>
  </si>
  <si>
    <t>6 To 10</t>
  </si>
  <si>
    <t>More Than 10</t>
  </si>
  <si>
    <t>Order Quantity Analysis</t>
  </si>
  <si>
    <t>geographical Analysis</t>
  </si>
  <si>
    <t>Map chart forQut</t>
  </si>
  <si>
    <t>MapforAmount</t>
  </si>
  <si>
    <t>Shipment Duration Analysis</t>
  </si>
  <si>
    <t>Customer Statifaction Analysis</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</si>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</sst>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9">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0" fontId="3" fillId="0" borderId="0" applyNumberFormat="0" applyFill="0" applyBorder="0" applyAlignment="0" applyProtection="0"/>
  </cellStyleXfs>
  <cellXfs count="20">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1" fillId="8" borderId="1" xfId="0" applyFont="1" applyFill="1" applyBorder="1"/>
    <xf numFmtId="0" fontId="1" fillId="0" borderId="0" xfId="0" applyFont="1"/>
    <xf numFmtId="0" fontId="1" fillId="0" borderId="1" xfId="0" applyFont="1" applyBorder="1"/>
    <xf numFmtId="0" fontId="0" fillId="0" borderId="0" xfId="0" applyNumberFormat="1"/>
  </cellXfs>
  <cellStyles count="2">
    <cellStyle name="Hyperlink" xfId="1" builtinId="8"/>
    <cellStyle name="Normal" xfId="0" builtinId="0"/>
  </cellStyles>
  <dxfs count="5">
    <dxf>
      <numFmt numFmtId="0" formatCode="General"/>
    </dxf>
    <dxf>
      <numFmt numFmtId="0" formatCode="General"/>
    </dxf>
    <dxf>
      <numFmt numFmtId="0" formatCode="General"/>
    </dxf>
    <dxf>
      <numFmt numFmtId="165" formatCode="d\-mmm\-yy"/>
    </dxf>
    <dxf>
      <numFmt numFmtId="165" formatCode="d\-mmm\-yy"/>
    </dxf>
  </dxfs>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[ecommerceDB.xlsx]Pivots!Chart1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Trend in the last 13 weeks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Pivots!$B$9</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A10A-42EC-BD52-2790954547A6}"/>
            </c:ext>
          </c:extLst>
        </c:ser>
        <c:dLbls>
          <c:showLegendKey val="0"/>
          <c:showVal val="0"/>
          <c:showCatName val="0"/>
          <c:showSerName val="0"/>
          <c:showPercent val="0"/>
          <c:showBubbleSize val="0"/>
        </c:dLbls>
        <c:marker val="1"/>
        <c:smooth val="0"/>
        <c:axId val="1582818687"/>
        <c:axId val="1582816287"/>
      </c:lineChart>
      <c:lineChart>
        <c:grouping val="standard"/>
        <c:varyColors val="0"/>
        <c:ser>
          <c:idx val="1"/>
          <c:order val="1"/>
          <c:tx>
            <c:strRef>
              <c:f>Pivots!$C$9</c:f>
              <c:strCache>
                <c:ptCount val="1"/>
                <c:pt idx="0">
                  <c:v>Sum of Amount</c:v>
                </c:pt>
              </c:strCache>
            </c:strRef>
          </c:tx>
          <c:spPr>
            <a:ln w="28575" cap="rnd">
              <a:solidFill>
                <a:schemeClr val="accent2"/>
              </a:solidFill>
              <a:round/>
            </a:ln>
            <a:effectLst/>
          </c:spPr>
          <c:marker>
            <c:symbol val="none"/>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Pivots!$C$10:$C$23</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A10A-42EC-BD52-2790954547A6}"/>
            </c:ext>
          </c:extLst>
        </c:ser>
        <c:dLbls>
          <c:showLegendKey val="0"/>
          <c:showVal val="0"/>
          <c:showCatName val="0"/>
          <c:showSerName val="0"/>
          <c:showPercent val="0"/>
          <c:showBubbleSize val="0"/>
        </c:dLbls>
        <c:marker val="1"/>
        <c:smooth val="0"/>
        <c:axId val="1826586959"/>
        <c:axId val="1826585999"/>
      </c:lineChart>
      <c:catAx>
        <c:axId val="158281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816287"/>
        <c:crosses val="autoZero"/>
        <c:auto val="1"/>
        <c:lblAlgn val="ctr"/>
        <c:lblOffset val="100"/>
        <c:noMultiLvlLbl val="0"/>
      </c:catAx>
      <c:valAx>
        <c:axId val="1582816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818687"/>
        <c:crosses val="autoZero"/>
        <c:crossBetween val="between"/>
      </c:valAx>
      <c:valAx>
        <c:axId val="18265859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586959"/>
        <c:crosses val="max"/>
        <c:crossBetween val="between"/>
      </c:valAx>
      <c:catAx>
        <c:axId val="1826586959"/>
        <c:scaling>
          <c:orientation val="minMax"/>
        </c:scaling>
        <c:delete val="1"/>
        <c:axPos val="b"/>
        <c:numFmt formatCode="General" sourceLinked="1"/>
        <c:majorTickMark val="out"/>
        <c:minorTickMark val="none"/>
        <c:tickLblPos val="nextTo"/>
        <c:crossAx val="182658599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[ecommerceDB.xlsx]Pivots!Chart4</c:name>
    <c:fmtId val="18"/>
  </c:pivotSource>
  <c:chart>
    <c:title>
      <c:tx>
        <c:rich>
          <a:bodyPr rot="0" spcFirstLastPara="1" vertOverflow="ellipsis" vert="horz" wrap="square" anchor="ctr" anchorCtr="1"/>
          <a:lstStyle/>
          <a:p>
            <a:pPr>
              <a:defRPr sz="1400" b="0" i="0" u="none" strike="noStrike" kern="1200" spc="0" baseline="0">
                <a:solidFill>
                  <a:schemeClr val="tx1">
                    <a:alpha val="96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Order Quantity Analysis</a:t>
            </a:r>
          </a:p>
        </c:rich>
      </c:tx>
      <c:layout>
        <c:manualLayout>
          <c:xMode val="edge"/>
          <c:yMode val="edge"/>
          <c:x val="0.30567657871262471"/>
          <c:y val="5.923685046042045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alpha val="96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alpha val="96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8.1914260717410328E-2"/>
          <c:y val="0.16708333333333336"/>
          <c:w val="0.89030796150481195"/>
          <c:h val="0.6704013560804899"/>
        </c:manualLayout>
      </c:layout>
      <c:barChart>
        <c:barDir val="col"/>
        <c:grouping val="clustered"/>
        <c:varyColors val="0"/>
        <c:ser>
          <c:idx val="0"/>
          <c:order val="0"/>
          <c:tx>
            <c:strRef>
              <c:f>Pivots!$B$27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alpha val="96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Pivots!$A$28:$A$35</c:f>
              <c:strCache>
                <c:ptCount val="7"/>
                <c:pt idx="0">
                  <c:v>1</c:v>
                </c:pt>
                <c:pt idx="1">
                  <c:v>2</c:v>
                </c:pt>
                <c:pt idx="2">
                  <c:v>3</c:v>
                </c:pt>
                <c:pt idx="3">
                  <c:v>4</c:v>
                </c:pt>
                <c:pt idx="4">
                  <c:v>5</c:v>
                </c:pt>
                <c:pt idx="5">
                  <c:v>6 To 10</c:v>
                </c:pt>
                <c:pt idx="6">
                  <c:v>More Than 10</c:v>
                </c:pt>
              </c:strCache>
            </c:strRef>
          </c:cat>
          <c:val>
            <c:numRef>
              <c:f>Pivots!$B$28:$B$35</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12AC-4E83-9980-EB0693CE2781}"/>
            </c:ext>
          </c:extLst>
        </c:ser>
        <c:dLbls>
          <c:dLblPos val="outEnd"/>
          <c:showLegendKey val="0"/>
          <c:showVal val="1"/>
          <c:showCatName val="0"/>
          <c:showSerName val="0"/>
          <c:showPercent val="0"/>
          <c:showBubbleSize val="0"/>
        </c:dLbls>
        <c:gapWidth val="10"/>
        <c:overlap val="-27"/>
        <c:axId val="1826601839"/>
        <c:axId val="1826605679"/>
      </c:barChart>
      <c:catAx>
        <c:axId val="182660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alpha val="96000"/>
                  </a:schemeClr>
                </a:solidFill>
                <a:latin typeface="+mn-lt"/>
                <a:ea typeface="+mn-ea"/>
                <a:cs typeface="+mn-cs"/>
              </a:defRPr>
            </a:pPr>
            <a:endParaRPr lang="en-US"/>
          </a:p>
        </c:txPr>
        <c:crossAx val="1826605679"/>
        <c:crosses val="autoZero"/>
        <c:auto val="1"/>
        <c:lblAlgn val="ctr"/>
        <c:lblOffset val="100"/>
        <c:noMultiLvlLbl val="0"/>
      </c:catAx>
      <c:valAx>
        <c:axId val="182660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alpha val="96000"/>
                  </a:schemeClr>
                </a:solidFill>
                <a:latin typeface="+mn-lt"/>
                <a:ea typeface="+mn-ea"/>
                <a:cs typeface="+mn-cs"/>
              </a:defRPr>
            </a:pPr>
            <a:endParaRPr lang="en-US"/>
          </a:p>
        </c:txPr>
        <c:crossAx val="182660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alpha val="96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[ecommerceDB.xlsx]Pivots!chart5</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Which products are popular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Pivots!$B$37:$B$38</c:f>
              <c:strCache>
                <c:ptCount val="1"/>
                <c:pt idx="0">
                  <c:v>Female</c:v>
                </c:pt>
              </c:strCache>
            </c:strRef>
          </c:tx>
          <c:spPr>
            <a:solidFill>
              <a:schemeClr val="accent1"/>
            </a:solidFill>
            <a:ln>
              <a:noFill/>
            </a:ln>
            <a:effectLst/>
          </c:spPr>
          <c:invertIfNegative val="0"/>
          <c:cat>
            <c:strRef>
              <c:f>Pivots!$A$39:$A$59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Pivots!$B$39:$B$59</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E634-4DE4-A223-6175C79FA4BA}"/>
            </c:ext>
          </c:extLst>
        </c:ser>
        <c:ser>
          <c:idx val="1"/>
          <c:order val="1"/>
          <c:tx>
            <c:strRef>
              <c:f>Pivots!$C$37:$C$38</c:f>
              <c:strCache>
                <c:ptCount val="1"/>
                <c:pt idx="0">
                  <c:v>Male</c:v>
                </c:pt>
              </c:strCache>
            </c:strRef>
          </c:tx>
          <c:spPr>
            <a:solidFill>
              <a:schemeClr val="accent2"/>
            </a:solidFill>
            <a:ln>
              <a:noFill/>
            </a:ln>
            <a:effectLst/>
          </c:spPr>
          <c:invertIfNegative val="0"/>
          <c:cat>
            <c:strRef>
              <c:f>Pivots!$A$39:$A$59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Pivots!$C$39:$C$59</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A-60DF-49C5-B366-EE2A1538A438}"/>
            </c:ext>
          </c:extLst>
        </c:ser>
        <c:ser>
          <c:idx val="2"/>
          <c:order val="2"/>
          <c:tx>
            <c:strRef>
              <c:f>Pivots!$D$37:$D$38</c:f>
              <c:strCache>
                <c:ptCount val="1"/>
                <c:pt idx="0">
                  <c:v>Other</c:v>
                </c:pt>
              </c:strCache>
            </c:strRef>
          </c:tx>
          <c:spPr>
            <a:solidFill>
              <a:schemeClr val="accent3"/>
            </a:solidFill>
            <a:ln>
              <a:noFill/>
            </a:ln>
            <a:effectLst/>
          </c:spPr>
          <c:invertIfNegative val="0"/>
          <c:cat>
            <c:strRef>
              <c:f>Pivots!$A$39:$A$59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Pivots!$D$39:$D$59</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B-60DF-49C5-B366-EE2A1538A438}"/>
            </c:ext>
          </c:extLst>
        </c:ser>
        <c:ser>
          <c:idx val="3"/>
          <c:order val="3"/>
          <c:tx>
            <c:strRef>
              <c:f>Pivots!$E$37:$E$38</c:f>
              <c:strCache>
                <c:ptCount val="1"/>
                <c:pt idx="0">
                  <c:v>Unknown</c:v>
                </c:pt>
              </c:strCache>
            </c:strRef>
          </c:tx>
          <c:spPr>
            <a:solidFill>
              <a:schemeClr val="accent4"/>
            </a:solidFill>
            <a:ln>
              <a:noFill/>
            </a:ln>
            <a:effectLst/>
          </c:spPr>
          <c:invertIfNegative val="0"/>
          <c:cat>
            <c:strRef>
              <c:f>Pivots!$A$39:$A$59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Pivots!$E$39:$E$59</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C-60DF-49C5-B366-EE2A1538A438}"/>
            </c:ext>
          </c:extLst>
        </c:ser>
        <c:dLbls>
          <c:showLegendKey val="0"/>
          <c:showVal val="0"/>
          <c:showCatName val="0"/>
          <c:showSerName val="0"/>
          <c:showPercent val="0"/>
          <c:showBubbleSize val="0"/>
        </c:dLbls>
        <c:gapWidth val="10"/>
        <c:overlap val="100"/>
        <c:axId val="1826581679"/>
        <c:axId val="1826583119"/>
      </c:barChart>
      <c:catAx>
        <c:axId val="1826581679"/>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alpha val="97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583119"/>
        <c:crosses val="autoZero"/>
        <c:auto val="1"/>
        <c:lblAlgn val="ctr"/>
        <c:lblOffset val="100"/>
        <c:noMultiLvlLbl val="0"/>
      </c:catAx>
      <c:valAx>
        <c:axId val="182658311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58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[ecommerceDB.xlsx]Pivots!Chart6</c:name>
    <c:fmtId val="3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6601941747572814"/>
                  <c:h val="0.36995406824146976"/>
                </c:manualLayout>
              </c15:layout>
            </c:ext>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8220064724919095"/>
                  <c:h val="0.25884295713035871"/>
                </c:manualLayout>
              </c15:layout>
            </c:ext>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7411003236245947"/>
                  <c:h val="0.33291703120443278"/>
                </c:manualLayout>
              </c15:layout>
            </c:ext>
          </c:extLst>
        </c:dLbl>
      </c:pivotFmt>
      <c:pivotFmt>
        <c:idx val="10"/>
        <c:spPr>
          <a:solidFill>
            <a:schemeClr val="accent1"/>
          </a:solidFill>
          <a:ln w="19050">
            <a:solidFill>
              <a:schemeClr val="lt1"/>
            </a:solidFill>
          </a:ln>
          <a:effectLst/>
        </c:spPr>
        <c:dLbl>
          <c:idx val="0"/>
          <c:layout>
            <c:manualLayout>
              <c:x val="0.13754045307443366"/>
              <c:y val="-0.1388888888888889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64733009708737854"/>
                  <c:h val="0.23092592592592592"/>
                </c:manualLayout>
              </c15:layout>
            </c:ext>
          </c:extLst>
        </c:dLbl>
      </c:pivotFmt>
    </c:pivotFmts>
    <c:plotArea>
      <c:layout/>
      <c:doughnutChart>
        <c:varyColors val="1"/>
        <c:ser>
          <c:idx val="0"/>
          <c:order val="0"/>
          <c:tx>
            <c:strRef>
              <c:f>Pivots!$C$65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A8-4168-9810-E5BAC59AC7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A8-4168-9810-E5BAC59AC7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A8-4168-9810-E5BAC59AC7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8A8-4168-9810-E5BAC59AC7B4}"/>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6601941747572814"/>
                      <c:h val="0.36995406824146976"/>
                    </c:manualLayout>
                  </c15:layout>
                </c:ext>
                <c:ext xmlns:c16="http://schemas.microsoft.com/office/drawing/2014/chart" uri="{C3380CC4-5D6E-409C-BE32-E72D297353CC}">
                  <c16:uniqueId val="{00000001-58A8-4168-9810-E5BAC59AC7B4}"/>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8220064724919095"/>
                      <c:h val="0.25884295713035871"/>
                    </c:manualLayout>
                  </c15:layout>
                </c:ext>
                <c:ext xmlns:c16="http://schemas.microsoft.com/office/drawing/2014/chart" uri="{C3380CC4-5D6E-409C-BE32-E72D297353CC}">
                  <c16:uniqueId val="{00000003-58A8-4168-9810-E5BAC59AC7B4}"/>
                </c:ext>
              </c:extLst>
            </c:dLbl>
            <c:dLbl>
              <c:idx val="2"/>
              <c:showLegendKey val="0"/>
              <c:showVal val="1"/>
              <c:showCatName val="1"/>
              <c:showSerName val="0"/>
              <c:showPercent val="0"/>
              <c:showBubbleSize val="0"/>
              <c:extLst>
                <c:ext xmlns:c15="http://schemas.microsoft.com/office/drawing/2012/chart" uri="{CE6537A1-D6FC-4f65-9D91-7224C49458BB}">
                  <c15:layout>
                    <c:manualLayout>
                      <c:w val="0.47411003236245947"/>
                      <c:h val="0.33291703120443278"/>
                    </c:manualLayout>
                  </c15:layout>
                </c:ext>
                <c:ext xmlns:c16="http://schemas.microsoft.com/office/drawing/2014/chart" uri="{C3380CC4-5D6E-409C-BE32-E72D297353CC}">
                  <c16:uniqueId val="{00000005-58A8-4168-9810-E5BAC59AC7B4}"/>
                </c:ext>
              </c:extLst>
            </c:dLbl>
            <c:dLbl>
              <c:idx val="3"/>
              <c:layout>
                <c:manualLayout>
                  <c:x val="0.13754045307443366"/>
                  <c:y val="-0.1388888888888889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64733009708737854"/>
                      <c:h val="0.23092592592592592"/>
                    </c:manualLayout>
                  </c15:layout>
                </c:ext>
                <c:ext xmlns:c16="http://schemas.microsoft.com/office/drawing/2014/chart" uri="{C3380CC4-5D6E-409C-BE32-E72D297353CC}">
                  <c16:uniqueId val="{00000007-58A8-4168-9810-E5BAC59AC7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Pivots!$B$66:$B$70</c:f>
              <c:strCache>
                <c:ptCount val="4"/>
                <c:pt idx="0">
                  <c:v>Female</c:v>
                </c:pt>
                <c:pt idx="1">
                  <c:v>Male</c:v>
                </c:pt>
                <c:pt idx="2">
                  <c:v>Other</c:v>
                </c:pt>
                <c:pt idx="3">
                  <c:v>Unknown</c:v>
                </c:pt>
              </c:strCache>
            </c:strRef>
          </c:cat>
          <c:val>
            <c:numRef>
              <c:f>Pivots!$C$66:$C$70</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58A8-4168-9810-E5BAC59AC7B4}"/>
            </c:ext>
          </c:extLst>
        </c:ser>
        <c:dLbls>
          <c:showLegendKey val="0"/>
          <c:showVal val="1"/>
          <c:showCatName val="0"/>
          <c:showSerName val="0"/>
          <c:showPercent val="0"/>
          <c:showBubbleSize val="0"/>
          <c:showLeaderLines val="0"/>
        </c:dLbls>
        <c:firstSliceAng val="0"/>
        <c:holeSize val="4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[ecommerceDB.xlsx]Pivots!PivotTable2</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Shipment Duration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Pivots!$A$138:$A$153</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Pivots!$B$138:$B$153</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7244-49CE-AE5B-443EBCAF7ED8}"/>
            </c:ext>
          </c:extLst>
        </c:ser>
        <c:dLbls>
          <c:dLblPos val="outEnd"/>
          <c:showLegendKey val="0"/>
          <c:showVal val="1"/>
          <c:showCatName val="0"/>
          <c:showSerName val="0"/>
          <c:showPercent val="0"/>
          <c:showBubbleSize val="0"/>
        </c:dLbls>
        <c:gapWidth val="2"/>
        <c:overlap val="1"/>
        <c:axId val="699844335"/>
        <c:axId val="699840495"/>
      </c:barChart>
      <c:catAx>
        <c:axId val="69984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840495"/>
        <c:crosses val="autoZero"/>
        <c:auto val="1"/>
        <c:lblAlgn val="ctr"/>
        <c:lblOffset val="100"/>
        <c:noMultiLvlLbl val="0"/>
      </c:catAx>
      <c:valAx>
        <c:axId val="69984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84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[ecommerceDB.xlsx]Pivots!final Chart</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Customer Statifaction Analysis</a:t>
            </a:r>
          </a:p>
        </c:rich>
      </c:tx>
      <c:layout>
        <c:manualLayout>
          <c:xMode val="edge"/>
          <c:yMode val="edge"/>
          <c:x val="0.26171723284419451"/>
          <c:y val="4.15723741208152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Pivots!$B$156:$B$157</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Pivots!$A$158:$A$161</c:f>
              <c:strCache>
                <c:ptCount val="3"/>
                <c:pt idx="0">
                  <c:v>Jan</c:v>
                </c:pt>
                <c:pt idx="1">
                  <c:v>Feb</c:v>
                </c:pt>
                <c:pt idx="2">
                  <c:v>Mar</c:v>
                </c:pt>
              </c:strCache>
            </c:strRef>
          </c:cat>
          <c:val>
            <c:numRef>
              <c:f>Pivots!$B$158:$B$161</c:f>
              <c:numCache>
                <c:formatCode>General</c:formatCode>
                <c:ptCount val="3"/>
                <c:pt idx="0">
                  <c:v>7</c:v>
                </c:pt>
                <c:pt idx="1">
                  <c:v>8</c:v>
                </c:pt>
                <c:pt idx="2">
                  <c:v>6</c:v>
                </c:pt>
              </c:numCache>
            </c:numRef>
          </c:val>
          <c:extLst>
            <c:ext xmlns:c16="http://schemas.microsoft.com/office/drawing/2014/chart" uri="{C3380CC4-5D6E-409C-BE32-E72D297353CC}">
              <c16:uniqueId val="{00000000-7A4E-4BEA-9482-9B21819A78F5}"/>
            </c:ext>
          </c:extLst>
        </c:ser>
        <c:ser>
          <c:idx val="1"/>
          <c:order val="1"/>
          <c:tx>
            <c:strRef>
              <c:f>Pivots!$C$156:$C$157</c:f>
              <c:strCache>
                <c:ptCount val="1"/>
                <c:pt idx="0">
                  <c:v>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Pivots!$A$158:$A$161</c:f>
              <c:strCache>
                <c:ptCount val="3"/>
                <c:pt idx="0">
                  <c:v>Jan</c:v>
                </c:pt>
                <c:pt idx="1">
                  <c:v>Feb</c:v>
                </c:pt>
                <c:pt idx="2">
                  <c:v>Mar</c:v>
                </c:pt>
              </c:strCache>
            </c:strRef>
          </c:cat>
          <c:val>
            <c:numRef>
              <c:f>Pivots!$C$158:$C$161</c:f>
              <c:numCache>
                <c:formatCode>General</c:formatCode>
                <c:ptCount val="3"/>
                <c:pt idx="0">
                  <c:v>37</c:v>
                </c:pt>
                <c:pt idx="1">
                  <c:v>51</c:v>
                </c:pt>
                <c:pt idx="2">
                  <c:v>39</c:v>
                </c:pt>
              </c:numCache>
            </c:numRef>
          </c:val>
          <c:extLst>
            <c:ext xmlns:c16="http://schemas.microsoft.com/office/drawing/2014/chart" uri="{C3380CC4-5D6E-409C-BE32-E72D297353CC}">
              <c16:uniqueId val="{00000001-7A4E-4BEA-9482-9B21819A78F5}"/>
            </c:ext>
          </c:extLst>
        </c:ser>
        <c:ser>
          <c:idx val="2"/>
          <c:order val="2"/>
          <c:tx>
            <c:strRef>
              <c:f>Pivots!$D$156:$D$157</c:f>
              <c:strCache>
                <c:ptCount val="1"/>
                <c:pt idx="0">
                  <c:v>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Pivots!$A$158:$A$161</c:f>
              <c:strCache>
                <c:ptCount val="3"/>
                <c:pt idx="0">
                  <c:v>Jan</c:v>
                </c:pt>
                <c:pt idx="1">
                  <c:v>Feb</c:v>
                </c:pt>
                <c:pt idx="2">
                  <c:v>Mar</c:v>
                </c:pt>
              </c:strCache>
            </c:strRef>
          </c:cat>
          <c:val>
            <c:numRef>
              <c:f>Pivots!$D$158:$D$161</c:f>
              <c:numCache>
                <c:formatCode>General</c:formatCode>
                <c:ptCount val="3"/>
                <c:pt idx="0">
                  <c:v>150</c:v>
                </c:pt>
                <c:pt idx="1">
                  <c:v>182</c:v>
                </c:pt>
                <c:pt idx="2">
                  <c:v>163</c:v>
                </c:pt>
              </c:numCache>
            </c:numRef>
          </c:val>
          <c:extLst>
            <c:ext xmlns:c16="http://schemas.microsoft.com/office/drawing/2014/chart" uri="{C3380CC4-5D6E-409C-BE32-E72D297353CC}">
              <c16:uniqueId val="{00000002-7A4E-4BEA-9482-9B21819A78F5}"/>
            </c:ext>
          </c:extLst>
        </c:ser>
        <c:ser>
          <c:idx val="3"/>
          <c:order val="3"/>
          <c:tx>
            <c:strRef>
              <c:f>Pivots!$E$156:$E$157</c:f>
              <c:strCache>
                <c:ptCount val="1"/>
                <c:pt idx="0">
                  <c:v>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Pivots!$A$158:$A$161</c:f>
              <c:strCache>
                <c:ptCount val="3"/>
                <c:pt idx="0">
                  <c:v>Jan</c:v>
                </c:pt>
                <c:pt idx="1">
                  <c:v>Feb</c:v>
                </c:pt>
                <c:pt idx="2">
                  <c:v>Mar</c:v>
                </c:pt>
              </c:strCache>
            </c:strRef>
          </c:cat>
          <c:val>
            <c:numRef>
              <c:f>Pivots!$E$158:$E$161</c:f>
              <c:numCache>
                <c:formatCode>General</c:formatCode>
                <c:ptCount val="3"/>
                <c:pt idx="0">
                  <c:v>312</c:v>
                </c:pt>
                <c:pt idx="1">
                  <c:v>373</c:v>
                </c:pt>
                <c:pt idx="2">
                  <c:v>351</c:v>
                </c:pt>
              </c:numCache>
            </c:numRef>
          </c:val>
          <c:extLst>
            <c:ext xmlns:c16="http://schemas.microsoft.com/office/drawing/2014/chart" uri="{C3380CC4-5D6E-409C-BE32-E72D297353CC}">
              <c16:uniqueId val="{00000003-7A4E-4BEA-9482-9B21819A78F5}"/>
            </c:ext>
          </c:extLst>
        </c:ser>
        <c:ser>
          <c:idx val="4"/>
          <c:order val="4"/>
          <c:tx>
            <c:strRef>
              <c:f>Pivots!$F$156:$F$157</c:f>
              <c:strCache>
                <c:ptCount val="1"/>
                <c:pt idx="0">
                  <c:v>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Pivots!$A$158:$A$161</c:f>
              <c:strCache>
                <c:ptCount val="3"/>
                <c:pt idx="0">
                  <c:v>Jan</c:v>
                </c:pt>
                <c:pt idx="1">
                  <c:v>Feb</c:v>
                </c:pt>
                <c:pt idx="2">
                  <c:v>Mar</c:v>
                </c:pt>
              </c:strCache>
            </c:strRef>
          </c:cat>
          <c:val>
            <c:numRef>
              <c:f>Pivots!$F$158:$F$161</c:f>
              <c:numCache>
                <c:formatCode>General</c:formatCode>
                <c:ptCount val="3"/>
                <c:pt idx="0">
                  <c:v>224</c:v>
                </c:pt>
                <c:pt idx="1">
                  <c:v>247</c:v>
                </c:pt>
                <c:pt idx="2">
                  <c:v>250</c:v>
                </c:pt>
              </c:numCache>
            </c:numRef>
          </c:val>
          <c:extLst>
            <c:ext xmlns:c16="http://schemas.microsoft.com/office/drawing/2014/chart" uri="{C3380CC4-5D6E-409C-BE32-E72D297353CC}">
              <c16:uniqueId val="{00000001-D838-4B0A-8A7D-08B4DBAE7389}"/>
            </c:ext>
          </c:extLst>
        </c:ser>
        <c:dLbls>
          <c:dLblPos val="outEnd"/>
          <c:showLegendKey val="0"/>
          <c:showVal val="1"/>
          <c:showCatName val="0"/>
          <c:showSerName val="0"/>
          <c:showPercent val="0"/>
          <c:showBubbleSize val="0"/>
        </c:dLbls>
        <c:gapWidth val="219"/>
        <c:overlap val="-27"/>
        <c:axId val="703404143"/>
        <c:axId val="703406543"/>
      </c:barChart>
      <c:catAx>
        <c:axId val="70340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406543"/>
        <c:crosses val="autoZero"/>
        <c:auto val="1"/>
        <c:lblAlgn val="ctr"/>
        <c:lblOffset val="100"/>
        <c:noMultiLvlLbl val="0"/>
      </c:catAx>
      <c:valAx>
        <c:axId val="70340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404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Geographical Analysis</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rPr>
            <a:t>Geographical Analysis</a:t>
          </a:r>
        </a:p>
      </cx:txPr>
    </cx:title>
    <cx:plotArea>
      <cx:plotAreaRegion>
        <cx:plotSurface>
          <cx:spPr>
            <a:solidFill>
              <a:schemeClr val="bg1"/>
            </a:solidFill>
            <a:ln>
              <a:noFill/>
            </a:ln>
          </cx:spPr>
        </cx:plotSurface>
        <cx:series layoutId="regionMap" uniqueId="{49DC5370-AA73-4D51-AB1A-0852CA86E04B}">
          <cx:tx>
            <cx:txData>
              <cx:f>_xlchart.v5.6</cx:f>
              <cx:v>Sum of Quantity</cx:v>
            </cx:txData>
          </cx:tx>
          <cx:spPr>
            <a:solidFill>
              <a:schemeClr val="tx1">
                <a:lumMod val="65000"/>
                <a:lumOff val="35000"/>
              </a:schemeClr>
            </a:solidFill>
            <a:ln>
              <a:solidFill>
                <a:srgbClr val="FF0000"/>
              </a:solidFill>
            </a:ln>
          </cx:spPr>
          <cx:dataId val="0"/>
          <cx:layoutPr>
            <cx:geography cultureLanguage="en-US" cultureRegion="IN" attribution="Powered by Bing">
              <cx:geoCache provider="{E9337A44-BEBE-4D9F-B70C-5C5E7DAFC167}">
                <cx:binary>3H1pc9u40u5fSeXzpYdYCICnzpyqA1KS5T2xk0zmC0uxNdwJEuD+628rdjKWLOWlq8Z13yvNWSaR
GmrxQe+Nxr/v+3/dZ+uVftfnWWH+dd///j6q6/Jfv/1m7qN1vjIneXyvlVF/1Sf3Kv9N/fVXfL/+
7UGvurgIf8M2or/dRytdr/v3//k3rBau1YW6X9WxKj40az18XJsmq80v3tv71rvVQx4XfmxqHd/X
6Pf33iqL/1K6iFfvt9/Dv7/319m7KwU8vPNUU9TD+3froo7r4W4o17+/31oJv3/32+4XvmDuXQb8
180DEFN0wh3KOUbC/f7i799lqgif3rYQpifYpoQzDEs/fu3VKgfKVzH1naXVw4NeGwM/7/v/71ti
67fAQ/nvlIdxv3koGyRCAOX395+KuF4/vLutV/XavH8XG/X9qenBU5tf/On2+yP6bRvL//x75y/g
oe38zTO4d5/w//TWu1+zuPWrN3sBfvZBhF8JMOEn2KGMuci1v7/QDsDIPWGIY44oetwBP777Eebn
+/IwT/vxfU679Rsff+KvH8r/Cty2uP4fpPS/GcjFw+qfl1GAUNhUYMHIARnFJ5hjCjK6jd0rONoP
4O4CW49jv3jukhwdyGVcvIEeJuKEucRhyKGPGIuXYsrh5Tic7oI8laNDGG/RT4J4i+LIEL5d3WsQ
5KJWbyDJ4sThgDMV9gFJRifU3fxD6A9l/ah0H5Xx63jbj/eeNSZgvofqyHCXTf0WDhZxTxyEAc5D
go3RiQMGGiEMlvk52JMZ2o/zNvkEiLcJjgzd/+arB6XfRKIJGF4bC1DL246zfQJuNXaJ/eh47aA7
naH98O7QT8B3h+LIAL5dFfXqnZetNPzvPx0lgQdGAGbA8ilK2rXOIMRCCEQd6mwL8SvZ2o/1vkUm
AL6P7MhQhwhj1a71yrwB5uIEuQwjzPlj4ATO9a6AM7DjoNvZNuavYmo/4i+XmID3S6JjQ1tljXkL
8XYhxwFAgvd9AGp8YtuCMHdXvL3JHB3AeZt+CsjbFEeHMGRyNgibjTL/x9W4OLE3eS5C+P4gC+MT
BM65wxEo+Oe+mKdex9chtPesMgnzPXRHhvwse+crDU7am8DOscsc/JQ+cd2Xmhw2BALg2b6o61Ws
7Uf+5RITYH9JdGSYg4Pyzo/X4Vtgjk84crjj4l1XDfETxIhAgjiPSmBb0l/F036wXy4xAeyXREcG
9hxy/8VbIM1OOEHMcdBT/npXuiHBzYUD/6Ad33w6R/tx3qGfAPIOxZEhfKdjKL0M/7wCpxBKE8xB
nNmBtBk+cSHDgsCD25bmV7C0H+PdBSaAvEtyZCgvsnVR/PMYb/JkGCB0MURT23EWOGWuQJw4O+WN
yZzsh3abfAKw2wRHBuvG/si1Llb6IX4TNU1PEIRQYHbJY4xFdmAGu4xBiF0O+vu56/16xvbDfWCd
CbgfoDyyDXDa5N9U9lD/86K9Ud+CIUpfijZsCoYgq4af8mrb0L+Gpf2gv1hhAtwvaI4M6KtV+Tax
NXahCA1ljP3yDbE1oAxWWuyo8an87Ed4i3oCulufPzJkL9f6HjpfvH88bwLpb5u5TLBD6W/7hArk
csT3li2n87Uf4x36CSjvUBwZzsu8XOt4lb0B0hA2Q8jsUHJAipFz4kCs5SCoeW1eO/72azjbj/WL
FSag/YLmyPDeOCAXTWzeXX+LTfkWMbQDuhkz5EJjwg9Yt31w+4QB4FCk3uOdvZK1/bgf+o0T4D9E
emS7YFkMbwE9g+YyDKEXf2o8epE+2dTBXMagvrntnU3lZz/eW9QTQN76/JEhew5x1xvocueE8O+N
J4+qeqOrt4QaEmObcgiC1Mo2slP52Y/sFvUEZLc+f2zIQhP5W9Sm2QmABt42fcphvxBaaOqF98AZ
34V2KkMHsN0inwLuFsGRoXuxSt+iFRTEEvwvbkO7yffXi8YDyHYiBzHBdxoPpvKzH9st6gnQbn3+
6JA1Zv0GOhlSIRRafIWLH6G1d7NgGBwteJsKtiO4F6upHB1Cd4t+Er5bFEeG8McY+oZM/PAWAkxO
XGE7hDzZ3ZeGF+Jp6CoC5bzjTb+Kqf04v1xiAtQviY4M7Qtl3v23CNfZ+i2sMT2xHYyJ+GGNX5Sc
xQmmmwZCUOqb107Q/Erm9uO+b5EJyO8jOzLsL1cP0CH4Bv41O4H+QKhK8aeusV3/GnS5zaCdCA5W
bfvX0znaj/UO/QSYdyiODOHHAg3Unt8oPnbwpoX/gKsNrb/UxjbUN3a8sddxtR/pPWtMQHsP1ZEh
frmCXoM3EGl+4nIKfQb2U6vYriaHIoYDNUzG3Z1kyGSG9uO8TT4B4m2CI0S3VG/S6cuhUEFBY4sn
B3xXZ0NOxGWUCwzh1/fXrubW8VTODiO9tcJEsLdojg3vdfGg7t+m7cA9QZvEJudPBY1dwDGB3m/O
CHF3Aq7L1zB1AOsXS0wB+wXRsaGtAOx/XnfDJAPq2i4kvZ6axF70EdknDoWz8JDw3BHqqQwdQHmL
fArCWwRHhi6MXShik62atwi0OCRHbGgEY4cyYwjOaWxCLb5jnl/H1X6c96wxAew9VEeG+KV6k34x
iJnhsPvPloONet6tXmAshAuGelecp/GzH+WtXzMB363PHx+y9Vqv36Cjl7ATxhnnxH46XPciD4pO
mMMoI7szLeB5T+bpIMLbK0xDeZvmyJD+DB2XzZskSWB8kIC+T/vQkStwuOGMNLKZvaOyX8HSfpx3
F5gA8y7JkaF8tW5XbzKgBjBkmAPKT5mwPdJsQ3MJ+F47OZLpHO3HeId+AsQ7FEeG8E22ul+/zZgD
sLSbI3JPU6T2Icw3XWP4MWzescnT+dqP8w79BJx3KI4M52u9gmrGPx9EEQL9f4CyYIfGEMEsKgdG
WrDdIsZ0jvYjvEM/AeEdiiND+CZrYDrhGyAMCS7COByGfTout+tXQ9UCys8QR5Od43LTOdqP8A79
BIR3KI4M4U2Wfg5yfB+be/UjhPkHRjrCsBIObZwcGvZ+6uKtyAmS2BQGWzqC7GjpLY6mbL39QO9f
ZgLe+wmPDPavzbe3KEZu8pwI+rIhHv7+etE0BGOmoGFIQEj1Y689zhSbys9+rLeoJ0C89fkjQ3az
fc/UqmreqjQFhSmKQXS/v/Z4YNiFjkDXfXTCd5oMXsncfrT3LTIB9H1kR4j9JQycfYsK9PeaFYfp
U08V6BcWG05WYRg+5dI9mE9m6jDi20tMxHub6PjQhvk0cqW/vc24Mbox0Jsq8+GRBswVhMKB90cT
v63SQd5ex95B7PcsMw3/PYRHuQc83YxTPKXXTeWG9Cj0ISBq/6hl7elDgJGD4OXtJlQeoZ/K1a9w
31pjMuhbVMeGeLQysK+9f/p4JTQFw1RfmElDDvlu+AQG1tgCjmjtCPpkjg4gvU0/BeVtimNDOF7r
N8mCw3ALZhM45v54PnZf2ze8CSpf7HfeJvN1AOdt+ik4b1McHc4mjQfVvIEsw30KBEJr/GNWO4TY
u8E3gwK2A52hO7IcT+fpEMo7K0zCeYfm2JBW2WpaOfiVFnpTnoZE6aaE+f31oq8IRkZSF8T5RVvo
ZI4OoLxNPwXjbYqjQ7hQ+RtYZZjIT4nLYKbFoRL19xFzjEJD4Y4kQ0PENI4OIbxFPwnhLYpjQ3gz
mf0tilqQMyMYw4jfpzDrhZcNTQgbKX9RtrydzNEBhLfppyC8TXFkCN+to9U0iXmdlgbPGgZVMDid
cyCQ3gylgTAaxu8/ZtV2EijT+dqP8w79BJx3KI4N5wbms79F2RLOQxN7g+HhS46wu5nQ7ux4XXeT
OTqA8Db9FIS3KY4OYZhPnb/JDTlwNkPAhDjQxgc8LhuiZIyQwC8wns7TIZR3VpiE8w7NkSH9VWVv
keyGe5A4jCKBOWG7gRNEVhyOUMLAuG13ayoj+6Hdop4A69bn/19AevhWup/3/PmrejX7fkPgs4vp
fv3u94cDdxvukD5NYtxflX6c0rh8+P09nK0gkLgAYH5ePrhZaGuO4+P1Iz+g26ZaQ2Lt9/dw2SCc
mISpFtiBMzowhQpBuqtbP70Frd0YsmSbkzsEYdgdBdyIGP3+Hvx0aAG2Qf1v5r/C5Hbw4oxqnt6C
M9YOtIzDXEkG6XT+8w7HG5UNoSp+PpSnP78rmvxGxUVtYGFsv39XPn5uw65jQzsy3KIHR0ngsjwY
KbyJ7Mr71cfNiAt4Bv9Hlc6YOkNgru2M3KXK3GLjnOfUfEj7MpFdS6Oz0JZdjuhpMgyJn6dpMA9a
1nl13wTSrspK8qFrfDVYH206jl5UciQ7WjNpRvShtissqQtrFVxFsywp0dINNZZllN1qXiRyLJSQ
SPWXVmUrmRdJ6XVja3lW7wQ+r3kyy1psSV131ZVd5HfQg+tc8nYsLhKMa6kYrmQYmHCGM76gxg2l
aFXnsSgK5aiLu6gQxM+svJS2NsuqdOaBqMOZSRGWnObrsYo+azuzZIadU0WsW2tMkQwqczmOYytH
J/wGNxEmsnKawdOqmxV6maALFJKHFm7ZJF7thqdKBaHftQ2W1dgk8ETSzC+yPvXxaMpZOSSrblSl
7Gv90NTdGarLTro2/CDdBkujxc1g8VIOxcwaL5oanfVU/OkkbKnshEp3cGzf5c6FDvVNnPe9pK0o
perRdcp0JkO7mSFhAySEG1mHoVlyTW1pgvwjDjv6wbWi+x4XH0whmvMgI5kXowjNcaWwNLxFc8J0
MysDVc+yVCd+kHZIaltc4DhaDk1MpaMjPxHFxz41ibTHBs0qknNPmGGQzM37GbN5NQurur0Na5t4
AXK/hJZKpIrLRWUnZybld9QdV8gKi0U+pLK261nSRq6vcJTKkuhIlrQ87ewWe6yuzmCaiAH8qoVL
8sRLA1TYNyWti1sRVPDF2sgyVdcj1fex6tQSt9YNbPCVq2IldRIWZ1GK/tBVe6kjt/EtQRM/7si6
75p1y4dhbuq+lJURwSnvnW85iKhUwIqXxiydx11z6+DQnOfCPmuT5Gs5uudjhUbPUdFCddZFNQyl
NLaw53UYIKnSoJPamKs6GUF82rsoDL5VERenBXF7mVj5bTCSSPa4+VIRvkyrOjwVjjqDlF4m1cDy
uTDFkoXOJx3Z0VlbF0ymyXgLa3YXVeu0Xu8qNatDpr0iHmPZ6iKdI3cDXk8Gz2YB81FAvxiVaK8d
m0YaUxRnBje911ucy2iIK5mZrPbG3qg/QjsIT4so0jcJc1zZkcrviwHNRZN/FnhMZFhH875NkDRY
xQBQWcyCLGlmJk5jkPYaL02sIqkSFvkaN0t7FPayEtGSoyBbMOBFVowMEtRiLUVubkxSj1JVxSmt
q9PEYn6ixlomSZ14ZWYhkDRae5aNeznQiPtuaPyaokJy+BeLOjdJ6Epl2k+oT84d3ZwpMly5VN+2
vG3kaPJFZAWpLPJglEWKrtq++RQrp5DZEN3ktPmQht1nkfaXJh//MAHlMm1rUDgq+cxafEZ7+3Qw
5q4WzJZVU9jSVopIN+svUlPNuK3VPB+EkVj3l4EmH9JiyGZ9h2Ycl2e4aQo5mOYv6gR/xiG6piq5
strypkp45YnWfAsCp5dNOv6RRYZIWgkxK5L8T5NzLIMhiGSNyzsV0fPeKtWszWDX1IE7pJ9Jkzin
MWUFWUBuDs8i1Z+5Tqz853fCbtmGe1UOOg6jpyt+f/7xP3cqh/98vyT277/c3BD8958Wa7XpsTG7
H9qY8J+f+vui2Y3J/Hnr7I4hfrxm+ICV/uWbh034c1vsQG/Br6w33C3083riv+3+I9UP641gmu9m
CIYNdwU7MHAfFvxpvaGivWkOh+NbAgzAplHhyXxTyJOizTEfe3P/LFxD/Mx8YzhsDQtCN5uA2hhM
KnuN+UbwHdvW24UoH6YmMUjZEuijARfiufWuR6LKqmn6q6Ij7qztggjMAkl46qW8az8wyxnOkr4t
0pltp/XXWtH2U0pNX0njFtWXZ09vjzOxmcO1yw04JTDEC3wTuNt149Q+54YWQ5m6UdNe4apAV2E6
FoFsuGKR14OkubLtaPOVt6UVS52LuvKqRKehDEbDqQe92sWDW9f2NawRNT7OMvRpdCyBFgNzgjUa
LNTPf80xhqzmC47h0A7MLnIdDiObN97RM++HxjwCbIf6ivROGPqsH7NPLaTAybzmg3JkO/QI7AYP
hBw5G2I5pDZZ5K0ekK9bVT9EvTHIi63S8Q3cr93KOo/sVnLtpOEsVEl0kzbuWW7cyPiQk3U/m6g6
T7PO6WexsdhlrKM2X/z6V72EAbrWbZh5CpfnwrUg33/0sx/FByvsrDIzVwUokM8qFODo0BTD1iiL
pr/peu3elgHK/vj112722nNPElxI8FQ5gUunYNQAJhu2nn2tY/chLU1YXBViRFcojZqrwmgvFkH0
+dffBOLz4ptcmE/BYaQUNAeKnX1WFnQYKx2pK1HadFV1SmeLoBYDlmkZzeyqyUaP2INQXkKcLv+f
Ns2uywy/Em/GS1K4JQ0mfe9+PZRP4igs8viKV6mzypPGWaXZhgdnzM2MaaXkYAP0iy6rOnAIU8XX
deaaZecO9KJnRNse6RKVegkv8k9El5j4kRiGdQkWw7etETwrx1VUnzqEjY389dPbXBGy8/igaRLU
BjTawAXLEJhuA2WzxikcJ7AuURPkq1jXJpTISuuCSjIMRXjWRXH6LRRuedGDczxnivaxh1HL/6r5
OCpviELugYFr17Em/KF1yoif/ZpJ6rwAmVACm2jTDARtYA6HBMjz7cS0iG0d1eQyoVUZuMKv3Whc
9HVP3HndNo2n+8r+0OaD08goirinUbEwWJeLjJbYS7Mq/1hmTt5LnnXhly7J1XIwdS1Lpyo/MZMK
P6iKwGtUksQyrknSySAxxVVXWua6skYyC0PkJtIagyL3cBvlpw6rs484CW/CoSC9zBpeXdVBdVfj
3CI+eBHwIOMBg26gzThKuxPJRRY54mtgN/QsYgJdjGHful5nRzSHi9iGeGkJPeSyG8Too86x/DHp
70tT1beNbfEIIq+azwNTNUsaYHxXRahLFwG3UCzHKA2+wcA93cq4qKw/m5znflkavExVUS5R5WYP
cVsykHuSp7exG/RcthUNz3SgG2+A57BAFLvXVQcOPO10NUeoR+0sg8vEQq/tQlF5LY6CWW6I9pvS
vY4CK7R9hFR9CqYGd15hJ0yKmmd/9LkdnWPtlrcOqZ1F4yYWnhuWjyvBlJ4Zu0/GeZuKcG71vb3C
Juv+MmFZOt6Ia7uRRYjbcN7XiQLh6LrZELaNmGsVRH5Wk/y0gI9KmHOhFTzovOUyMUlieTzouOTK
6UdJ6yzwSG0V+UKzdBbSZrA/dARRPzYQ4IGnSat6TurONYue8P6CpeOYBR+arqrzXA5xNhT6IQoi
jMevprN6nkfS1aDK1T0e8qQmWjZ105T2VZ3WeQpuWFyNi9Zt6mCZ6zguZYIzdWtziyyTgZDGawCD
QA6VDd7cGOVC+EUQgD2ss7SrZiztQtvTWY2C66iyGVen6cC7yB/6zK0vmKkJ7KguUMh0XgO2cM6s
KAmuWxAdFnqVKAVsOJKafF5ksXZlVoHxCmZ9GzPPCqATz5FDYBcU7qYL8tyDQKgL5l3Gs3xmAvAK
5k4R5qMnRgc0ZoFT2nh5pK1MtmYIwWGPrTyfqTAWf1lNy2PbtxWuFzEVjbhyrCAMzgoCEbqTeEVv
qnE4NdAioKNZGUY8nwWmHau5q00Rz4eM5cOpbUxeeg4estiDqGvIFjquYssDWPEXq8xH5MMEujT3
4b+2dZ0ltmXgkRfFlyTP3XxJtFtnszSq2cexqQmZJ5bC6DzqIsMhTohwVC8C3ZbFLRhjcpaEI07n
TQkczFSdheNMoH50PZEMZXeZiwG2tgWiov0AoeZME8fJ/DAgYePzogU4Y27APynGhIzrLIXKqi+A
gdwnQx5VS2TH9DSMeco8nKYV8WMVB/7YBKkjrU6X7k0SdAn1SFwlo8zLZLTO7SCjc1QGoQPsuryc
oSEa1TKKURfOUpdGndx8TiI3dgvYPiGpvL6LrVHWfWz9qWGe8mDJGOQIX6HxeyAoWmqRuyHrcHPF
SndQfuFW9aXTFGCSQsNTIHBzAk8riCNUfB1RVkRn1ZBn/dx0zhifozqs72iCnZXTB3kgBYLNO2+K
npOZYWMMzDcoyf2MVKnxRBfMYhRXX7OuA88iCZP21jis+1bqiJy2vAuDmUgdG8tCBLCOk6mknxe6
RVdjXxL6wdQOukM1RHqyY5YRXo0G3s9anCfxqe4x7pYFxHz4Ora4+7mwq83mTJLKLHhmInPTD7QW
nl11gE3UQRDlKwNK9xwsmPuZCBt2dw5aUvuQ+erVsjZugG8S3aTpRywKly57mnTNZd3XG+czGvob
J7VYP1NdDl+t1Cbr0+O8Hhd2yjc/fsN6B/oJ+CpzdEWdAn5FUznwqKJUpaPnpi2ITpmFafyh0BxE
XjfgFYTwHuhUXBfRdYXooAtJysgGuDvdN5e5FZVGxnZT9fMeDpWT2dBWeKM0QJg8+EWgQHoXbfzk
usg/B3AX4Jlo41hIETkp7IshZKuuIMBGr5PhI6l725yH4OYm56os0uRWgLVYmMJGV5UbVl9h5her
ZESjGJ8pEbqQC4pU2PqD5lUHDu5AFiWGx+pBLme4T7PUuekbY6vTyh7a9EvH8tCc5oGV/zWM7kaH
xFUW+RAHCDKL8RCZecly94tlB/k878oQMoMU1Nygu+hjrGpz7uZp4vgO1jgEtedACN5G2P2sE6sN
ZxkuQExGKyDukhYKVescFPJwBtcogWx0G409SxwLnmjfju0MjExXnSPdYOYFbla3YGlJa4PrXSV/
ard176wB3PSz0a01eqhNMRiZI8TbZdxhWKrPUTR6tAtZuITkRtR5Vuqy+ajatr7sB57dJq2ppODm
lOZ965yOHQNwUhuZcVFmqVKXBevphVXbVM2iqsjb83DoysgTjsmjO/BEzIPtFqBGQHWaVqaR6Yx0
u1ZUYAWG6jYLKxT/gdRIBKQZwQMbPpU1sVxYzAR6FnErDc+soOy+RaFttV7GDUuXsWujD72xgnGh
m8rEs3hsYJPGuE7ITZ9mo3OVszLLZFW2NrukKKK9N4B3Y2ZdVAJqnSjiUOqR57EUxmQz1JNe+22G
hV6MooLdn9I+5P4QDLbxgtKw6kvnDOguiTTsNbB07mfY65DRKdwCgYLFpZvMRR6xTvbNVyyaTiCZ
pi3/5OCi6vzOCWt6SYNMtB+rwLgajDvs6FkZE0ATAoehv4hJnaoLrsuI3ODeztgy6JULv6vvrfAy
1VbZ+bkJQGeAN9bUl1kWAP/aTcO5iUQa+V1v28uhoiD3A+TNY0mDiF9+90qfyg83z/Pnz3MZz1Mb
U3Ikl/G9Vkb9Ve8mSbYW+l+eSfl5o83fZY1NeHy4GLIZ37aZ6PU8BfNYRNnQ/UyouHDvCvQfETiO
C6WPzaCTnwkVKHa6DoGrainkTPizcgiUSSGVAmWPv2soP8ohcPMl3MAFWQc4OkA5Zuw1+RQouuzE
RvANLoXLdOG2ECjLwr0/21FHoq0U8xFH17k90uAywrXzZ4/sSCwdXRThjbI652xsKvYni8BjPnWt
okpl11vdV5Ao89mNqLp13dgZIfZsOjUnBa+/GNKgABR7xmcsSpSksfW5xySRfThSL8M49XDPboQo
Fg3kDpuW3YXZsOrCcQXuNwUh+MiMAI+K2Quc5fE1HqBagFIGrl7gN5aG2CLRkhkr9ELdGi+0h1Va
6darOt3JBjLZ0iCI74ZRZOBtiXlWtL20Ci6k04C6DbWG7ExwWubsI22dj3nMkJ9CbDcE/dUodOhD
onlVFdVtSfCfkUiIVIHu5kWRNDLE47gQsQsBTatiD4a4f0wYv2iF+QPn6TxlRXaRa3XeRGkjqwAL
nxooEVGoZkgwE8Irx/RjC0FZRcfykkBeBWpCFAoQoughUQR6u6MtZNczE0OFo4dsUhFmF9A9Nht5
+QdhVesZZJd+Y+v1aPQAflSfzYRpTjOTLGw3P0Vp7ZecJ/PBcj1K614KjOeNqkMvSuAZVAHqvLAV
kGct4N8opI5l4arPRZQ+cDf9IGjkizK7h6TGHVM15GrrhF4ETrCMS+tDXFbgMTs88oJcBTJs2EUI
txhAeEc/RozdUZ1DNt3hD0wV5+NAPpaDsGVqCygRFZCYL9tNnSTsz4sYebXdtZKqYpHFVi8xxJHg
HrWyqYrPCTOZz1gXz1Efz1hZ3xbgdnlWF5QyssWcVry9akSooPxkRC01XdYpg2x+7vS+TpsPY9sy
6ZDoqhibVFaWTfxkaD7pIfkWtJ1zyiLdSCg9zrkWXxgWf/Ag9LBGqywPYwmRoWzs9qM1iHkVjNdZ
GoMHgOducAObVV3RtrnI3PRmHNifMdSE5kU6ornuoepA3bRe2uVwXjPYdshJLhRWvsg1MG6JLxDn
WhLMeeyhpA88S8fztEuvnDK/Jq4+h1a2m9aIStYthLohp3OLVH9Sy/IjB3/KwbGXTPGzsmXXA5R4
ZMGac8sN5mFbKT8PzJ1I+Ddm9ZeaNWsc5Hem5kvosbpI2hQt7YgziMdcA6UdwCFI8ocMdSBiY8il
6LPGLwt2DT+eybqL/qi0k0hk59c4QDeVQ+eVm36zrMATygXnI0ozmZP8pm6UuChIdM7zuvgSMVdD
GSLD0rKL7NzKGoiCoqGSgc2Yx/N81QVBOquH7AMywR+ZpQaPEKxl5NJTV4wXWVFfNij1soZ+BTds
VRNwbBz40g5/SMrYzwJ3GZX1tcnsBaStTgk4KPM4yC4bGEgkCyqK+ZAWPsUQmoCilYMTnUHYSs5j
pKEs2KeBOetbBJWXsWhljsnouxBEnKJEfIHWGCgxKnCXZBUnZl5ldr3IDXAfFkr5ZU/xxiU/s+wY
XUUgWJCZiZ3rguejdFoN4NS8/zJWRfhRI5SdJzRxFjU8glmXWdkp4tYgyxLuypShCaDW3LI6Oq0t
YiUSR/DVQ2mjuZVAaedNjPn/f2bahiz3YTMNaqfZZ6Q3VD+MNMz/5a5jw73xkMyHZALk5n4aaegQ
hg5wMM/QLEBdDAb0R9OCC/cAQKUEOtJc5/th/edNC5AQZqD0wDndNDS4r7HSmL+w0jBpHsEMag42
Gmpem9v3nucG+y4IIWIL6HU6lnxYjkzl5FsbkTq4hmiA5PmlBdmnUxHwzLOa6HagIZUpo6Vf4MaW
KGCxhORsOmvcmvrGye1Tu0sTX/REe02rVmgYQ69x4tVYmd7PCWTvtWHnoAchGAuSm6QCFzgM6lmZ
GyrB0sUzMYz2aewy46dg7CFTlbays/J2Fuk68yNWnzdF6UrE4y8tYh9iUixYlmtP9X7Rjou4qjvZ
2jkYhkR9GKFUqZhaGmocGWcKMgw12HYXAgMZ63HlJvoDY5UN9z5iBjVKfIPtGqSdjmoOsXfh4yBT
kPaq/iJBuGqSpvZyi4OCWXc9dnxI/c1ai4R+lheXPaZfyiKEarboylNqINmpSVd6aQkST5QFpQ/h
ag+1/TkZ42SG9bhuRADmsz1HbrdAHPIIpVoYYmYasnM4QS0o1DL1dEvWtQu52A5KsqAd8UguimE8
HR3I2TVhAPqN116bx3eiyQo/y8rTHMomvfq/7H3Jctw22+6tnBtgCiTAaflzaPagbk2WLGnD8iQA
HEASnEBe/XkoR1/s+Ev+yuIsTlWclUtptbtJvsMzofhQhVYyDOq21eQkrBGdVWJldOvbCZd0rBlg
fiO1ygbLDnaB1x5tt/6segFlg59fkSm8AoCjYlblyjsGKKW3tiFt/lLoijtpTxuubq11WNqsttUC
BUVJnpa1CJvIm8ovjkt3RmByks74JezFzndCHs8BfizH+VvH7D4uehNG9WT2wyIuTOVBas1m2XWD
eJ0tT0dFsDxj/P0wrObWnuwXwPxH0qzPcirC2HN7mvqcfZWOOc6ELy+VwBwphxbAOlUgjNHpXAKa
3NW32G736MjWFeDmD4vEx2qrEdWXB9e5wUwUiPWVuW4yiqGM3NIL08FbyH71X+2iYcBqhsdpwKJe
t8xJKgBHJQ9p5loSODAQ9dZ2Ew1KK7Ya8YWX3Yous6y7YIYQp1h45lj9s5ybfYPHJlbbTAbgLGr9
foUaQWEMxVJqZoZmpK2bJbee9ECOXkvtpHCKBzcXHLCb40ONAi0AcHysmfvKL32oPJqjcvs5EgAF
xy5wI+GVr70YrtuafZr6/MqroEMol+ICQubUUjGh0YcnBQQzciid4gIIghZSRMUwzVlnsJ0OgtqR
E8JBUwbPq9+kdeUeSM+faUnb+9XyRGSJANi94z74lrg3kBaRcH7qBJOHVoSH1XSnnAftKW/6J8/k
GVaVe8vzDoIG11bY3wrifWvZeqlrvS8b3Jurt6xJa6sxAQFwN01NVgIz4aPMdCHCtDShivD0eC/9
1B+EU4x3eTAJYPbVrjbzyRv6Mv23tZFNjrelu/x1a9syGd48+r+uoG+xMO+KPNDziBbwgALgbEDm
/biCgp6H3NZxkUyAzPTN0/je3ZBAA+QMrD5cjzjwdVMC/LCDEh9CP4j1kNQLg/M/6W6/UNIQBcAG
DX4Rp6n4yLT5ubf14zx2tbfM16S50ZylS+EnP3wpv4MYP4r+8C/9gf/b3JhowXDrufiE4L3Zxrz9
QNR6s1/S0R/H654VR+k/WuQ6dG97trfzm3m69Pb3uxFgBsSV/+X94D74X95x+xf98I6OCbQE7Dxe
F+1ooXzwIYRYpnFqrD1NfzvrJoDiyW0vXunmUe/tvGLp0i43uZsOIMBS6Lm8F4OskIO3VYGla1li
95Dn0EBcuU31qALs0GgWXyerfA2N9aRWiCJth4EbYgVAar3E0Ou4EXVEkGrIASPsNHzPSi/rQUfs
kNtKd7yVTZYvRsXSSKj49IhtYiU6yh15b83YVEd5F0zTCTAGtiw5XVldjqsEArHOocjr5iFhC40W
b77N8wqEokUhDbRvMJtETuAdFBklGjw/NaEdjdR60JbNo0m9TCvAO18APl/71B76TA4sY21wFBKy
IeE1884Cj5EBrj43o7/e+wPBTqHdpVf3TSe8vdehXNuq23eesIbbtQVtik6pTXNdcXY1QLFyUfXq
osMPa1KPtPuMFfQK++TZYvVV68uDKeezDvOLRcrLsnof7Sr0sCZaYQTEZKcd+QXj31dsJ246u+xs
WnYEKJ1MZXs15HM6jsthofKGrF2s8i6RZrmaAe2NAaaCYa1JzN351E/kYzc6KWMNh9pzfXArAxge
ksCLHNWNKodsDOZLuZZol6UfmRZ6rHJAM+5MoKJ+KknEoLzqC/+hGxY0WovwnVO342Ec5yGrcqe/
DWS3XGEpdXd94GBs+xpa8zUTwV0/ajuyRTWAM9YgYupjXsmbUVn386R2wsJlaTbwQIYRNrevvhhX
NLjiFjLKNBxrUM3GTkLHS1ix3GLJE1HfTrE3s2zW046wPBm8ADgzSZqmuQeMcVPnXRfPBgAwSL/p
zizizsvtg4ZkFvzdEytVbHxXf2iJReNC6ldFsYHlYUZnFa1rXkUQ28R2OX0jMz+p0UswfhQxKtgB
hAmmXQoswJox1PIbIaczc4t959aZIW5a+eCQTH7q+2av3QmC3CFxe+sCzj1xZuuAQnG7BHyIckn6
iLIc2yx9ZLqPHTwhcVeqOVJutezL2a0OulK7VvIRKgHrWPbrh76dRbRUw0XqBmg5SYpiwm2dY8AZ
A+dTOBafgK6cm64C0lWAV5iBzkR5P9exm0/B/t+m973poZz+fdOLcNjmJ/0Vpw38l86HV7/vdW9q
Njh8t6WJurYLsff7XmcjBJGgBG3Ccn8jm/7ofC5+EiLr1vVxpsDb8vafzkd/C9AV4RhGfDlDT/lH
nQ8SlJ/6BER2NqRDLvTb6MAEMqI/9b7QuFaLqHtxscBvJu5UD2kAwOzgTUv3MmnQrtHQDcAqPcil
/RgKM7eO8rnri4elKIs0XL2JXJR2WKK6lhsSeT6Zbs0cNMun0WY2VMzcQKHtRKaaCgcVm0KmZxLI
bPIuKn27Ww9QaWneZ0NrVeI+GLCWaXfIoV+3fOJFK1+LD3VTTQ9s4IUTVyVZ7oUdgIxwikLs2rZK
V5DN/X4RoH4qd/QflT1ZY7RgSH1s6xDDJ3XbdYmZQk+Mrb5TMWbT4IaWU/tM6654ttwWdRrUH+j9
qcqvsQ3zIKqCQp7XvgvA0udrzeNAenkcNs5BcVLHNS3GMzQj9cX31HSHxVCkID0dhpVITfvRyl0g
0F3w4qjagLMcwmaFinj0oJAJpOuje1T+HfapZo3XoZb7Svvrl9qBskVwhj4TL6RzNXDT0C3aPGJ0
LJtDMNEhczUuSI+Cb03PgwTKk5ZTPqWssEeh0iIU+eqlqwPaDhr3ma5ruA8hS7PTpdU888mw3vZ6
Kl5oqPrb0O/9XVFB+QW1MhMfABFfQopaA/Ad3+aNsvhEUg5eso553owdZmooma4D6RTPZdU7H0w4
ViNwp7GEg0ERWe0JVYMfWUGbF4fO1oU51r5k8zdvDvi3EOdoZADD8l0lRdNFMnRQ1q1+iWpL+0kZ
yP4JW0WroQoCfuxBtPxv5ULl2uJW/65y/U8FIfHXX/ii7y97L1nbUVTQtyL3EWdIMrqxQu8lC0ZX
IEqIHwEU+if/zBthhJrlM0BS0O7iVX8M68hsplDAeQzw0QZgvSuQf+L//vtoCw7qTyULfRbtHlFl
PjQqKJN/KlmB4V04BgKjLZb3Y1CF7KyVOQWq6mJ31I9eXSddMZR71fjV+k00fWfdjnBNLN2K1d02
1W0oWhUNJeYJzo5NXzeAWHsZ2esCIWlpW5msJhaxVux4OYkD1EqYpFrQQuCTuYjDqVO72gcmcL/w
9jkUSxNZqLGRD8kIpPVOz46Tsdaj2yoj8ngJFnkcqzJZnNwC0KpfeahWaFhJni12gxHHLsMDHiBU
K/hPTw4MEeeAKojF5H07UtGmQb2QXWsHMpm0RRJ/ClXS0BU2m0o6kePBg6Pt8FT6ekg7bsfu4Aw7
17SXwMX0PtEm3E3VCgIqH4AdCTXv9dxf7L4P40F1z3rmV4s9p4IsidM7Z8L4aV432gX7QyTBnQNd
CeJ57MdU4QrD/mMNKd6Mv+Zz470AyJkwyridAGFhQd8kensf6vFOlPQ+KIgaD+3bkCy3eRkyuFht
E3T3Nkx7b4O1GHN/iqifs4za81REbu6+lvk4H7YMlmxUZZmstbpZiv4CXPGoKnHpiHMKBmvX9PPR
qr2kWcFNdyoiBWwjsv06K+dODuHzv8XjbezZrGh/M/a8BYD8Ou68RZO8L/rIB8UTaWPbhV4Xu/lP
tQN1IaCgoLeTVbYfvS/6ART6OIsY80dAKI5YQg17rx3Bb6gzkGm/A+PsH9WOYFt7f1RMY6BCoi2w
bOq4yJon+MA/rsUsqAsIRZ3lGn40feMXS30n7dZ/AnHoHJe5LJ8XG+rPYJjIeV7QctFARWK70/ro
h/NwDylRla2rLU9e2OSpbw06VbITadCRS1WJ8DxRO7+C40HfUjPg9RPwkGRchyAlTWv2VhAejbPC
DTAIkD0tLb9I6AWzQs15QpYVo0/bm5caVrojlkxILK2hSBxFFoDFQRtDYPMYOl0sKvppyWv/OEIL
tBtAkp9U2YQp3HIwHw1hHpsKun46NtEoyxIMNMBObLZ7HJUBB19IB709JYMTBUXxrcWzz24hEEm6
deWvftE+CwNR2ZpPsSzbI2xDYWwKVR6cNYTpDbKAG27zJ1IuRzlSvWOtunWbjqSSDFY2eHw9rnyk
RyGIn8L9drKtrj9gww4TIgTLykoxyM+cfO/ZUxBJl5fHroZDL2+m21UXKoKavopGy10jy3XTogya
yOHhBfLyEh4BfDvWaEHjNLc0qaVtX/c9WG5IOdtDJ/rj6BQvXeubqK4GteEARWrz9ih4tw5xPuGC
WbOtk8oqyS737H3BrGixNI+NO2X1UEJBuo7tp6nhxdkM7JtVNiTpCIjeGnRMMqsqBqZwD/7ltvY5
jUpjMmeqHp1iHsIrFg4QyjjV9dTZN40TPBKIAuOKAu60SGagcIj8zk3zFu/jeSVm1onxc9+7bQx5
+qmn9jfXbcZd7833k8BI1TsT/CWQlUZ1Ta59Hu5V3WQTda8KE57bmWTCxoK/Vqj8cKUBEy52K5fX
9SoHkIH1LmQ1rJnucnaXNmlL6yGgEF6uhp28HHMbFJQvtaM/09nuklAEX4zfZI27PIBqhYMub1nU
tD1WAQVV7gUa/Ab7KvXGLyxYwVNQeBV3eWOuwlm1eCpqWV7ZXgdqe1yq5tiGOU18W5sr7jny8G8x
fivG5G+lP/9TtVJ9+7UYb696H+RwKAqSfqmHUoxTNTCw/VCM3yzSLv6wN78U6uQfxRjQEnIwsK4i
6sLbmMA/ijF1cF68jxIfIiYW/qt/Msj94jcAi+jAM0Mhwse/097O6PmxGHPtz0VBg+rasrtnLrH2
rWP12V7cQ2XXKiq8Ne5hkvWxcZLJ362UX4VLd5kD3Mv5XHeHWnY1WC0r1v7o7LhLdqSh97OcnDTw
mzGe+HJFhjzxLBiBN1JGBk4bV3Z1JdyuiicLtEjZf6o9wGHYVb8Cc+zj1sKex11zMsH0FcQivIRY
OBOMxKm3TG5kL2pNyWhVoHCg8oD2boj9MRxjthDIGhq17FSz3DgL+CGHV6fRuIAn+fCEfmASiCK/
NsQ7wmTTJp0BmcOnvgQySiNXwHii/PBmDe2PU75yjFwSRVsAaqp8LKaFV8h45a2DKsDzyM8PlA+7
xYcCpoMsMXJm87gKfh58dWrz9iTwmWB0ldD8OM7dLMtk4rxOS+Wcc9v5kANHwlA41pEXAgAb+glO
jRLkI2N0X9NFxgBYPwautmKPLHzksTt1kt8PTtG+QAv8uKxsPg1Bf91SwKeQcEDw3+kXwyH4VGWG
cu5FbHQhvpoxII80dyKRB2fBnUfawZE5yvnawulNaVmOa+K4K0/XEFpbrkMrs5rxjlriq1vlTQbd
cWxDTXxqvE+D+QTJNTqO96lfaJONmmTg33mq27luHkNbqPuKgAz9Jvn6dTbibqUwPvtj28B/qkUQ
fNJ2cclxfx/IoMjeDE5z7eg8vGaQrhwX9E4WYsydfW8/QKkTEUFkLFi4XGixQuYom3rO4Nj4OKs5
8WUtztQ036DidPak4WEXaQ8E4b8b63epovu3WNvvZyn9Wui2l/2n0CHuAxFc2D4J1sU38+f7xrrV
QOBoaEFA4L4zT++FjkHiCBZ0EzQwrJPbQPpe6HCaJ2w4308Ws99+9A8KHTbfn2dOhL+59pbm6Nsu
VJXbTPoDFWMI0BOt1XhZlzLemiLfFAZB/f0G+UvOxya/LMYIJEA26JbnTByH/NmaakOR3XkFay9k
dMOHUnSWF9d+Bfofhd7VMR3UyA59n6/3hQMhPjJS2Mci8Plz2xTBUfMlPNk+UhtamCnNjYBuji4Q
GCbewv3+NJVFT18m03nBzZx307Qr7IYlE5tk5JVWdT0XFZgs2baNA2V/NU5xYHHAeLLP1ZMslzB1
MS4Q1MAvbsXmi8/a6pqNpK1iuy2rZdfkhsYVrOVW1Tcz2J65oddkst3yaqqKaz2UM0wdysBWcwOF
6je3b7+qjsOsRT74U7eHJRcku9dkDsGnsFqZhgDYwzp1TX3Il6VLaFnLpNd2Ui3dqwhQG1p2sZ32
daTTfWWjOs5MF88+Yjnghi/HMzIi9KWD2eJYSUxaYQ2scXV6QJMWfWUwr+0hegYAOnRtWk9ANGVl
uakzB2c6hJde9XOyOsGUcLk62aD8h8W2nipHdAnsiq6GrJGDqB/BkW1arDpFvCuELWz7FYOzg95U
P2gGCWbiBUrc9Xyy0hGjVBoaYp5YJRd8i04zRH056oRZekkKd73rvAE8lmXblx8Wvt/BmB95zDcj
60/7EwKlARTbUCJBpoTb+ud7uVt0xzm4xUufQkGnI/t+vQfKF3XxsFd7pDIA7U3rzE+xFkXuke1o
6uzz+Hch2V/e638aHYCmA2jCDhl6LrhVhqO0f/53uAZkDu/hR80dflwqYeKSd3nUzgwLjV+GaTfl
G3/maRnlATlzX+dHG9fIK7s6XnzEGORYqZC68DJA9L7rIVLcDUOLoJL1xQfyEBW5JeCTNh+7qoX2
QXdL7PcFTaCEckBnFTX6tUkXGmazreIiX+OOBTlm7HC/Qg+xOE7GmGtHAM83fJNBdKP2hWFAbZiO
GgItHjAXJ8d8XUKFmkwtGM26QADDhBHHQC7S8aKMesofOKQgNq3Po4GIFYgqTDK40fywY7uRFPd/
f4l/LiL4ZnFAF5JDPNRLUA9Qh//8zYarM4dtnesLmeoiQyGo8OGJii0pUrdBLgnr+Ke/f8stWeuH
Cvnre/7palpm8vVU8v4C89Wzm+vYjLxJ1t6HD2QEmZWTiHu6xdIEhK/qByhm1XK16lFEgeVeNTJ4
IlBewUNnveYl27Vdd3Ya75bk6xeXdy/1LLsEUur29O/u8bZ72H/bk09bVNGvHXl70X86MpSJPnOx
JGCsB6CDH713ZKQzIdoYrsQ39mrDid8bsodT1fEHDzbgZxwthRe9N2QXEkjsIr6Dw2ngpMZS8g8a
sv8LCoQNB78PeU+QpFDCtvvxh45s53RYytZ3L2K1qH5wQgFVHsQKtZ1g2h4hQi56R577oKRPbeOZ
LiNzdbuxxUiQghlRSzNAGO+T3IuWwOuxiTR6BfqAjTwaXZSJFF32ONMKbC0C0NbytqnLj5hP7zxb
vJjZwcpA6WXxVJcw5UrI6o2MeCc+N77wIocoZ7PSgeolFtCcMQtVUca1Uy7JTHuQX/lTG6pWnBBW
tC5JJWpuHuGI7+NajvDHurpsm0Tgt3pxMy6DOjNr8cCPFYg1kfkOWsU5xfCL4qim9rNTrC98ArM9
eHWOXqx2vZFz3NTgtQtrL6GUhN9NfSZUF1kFu1iysvpBcuuLc24V5BGsTGAWw9dTrWWcV/kHuwtu
64ak4TJlxXprD97DPPUfvYCnTOku/H/jEvr/UFiMx+OvEdkYp9i+Bc3jQIFfn0eC174/j+B0XCSU
4nx620Za7Rag8J/n0fkNIyMcQN/DzTZt1vsDGfxmAyiFYAl7OnJXtuOw3x9IaLMwBLggYjBb/2N5
MdlW/Z/mCqSq4YbG7/QQluwBWfjpiQxrfw0VIpeuq0nCfxPrriHHytjsqFakBcSFV4Nv5ogPM9ZV
oCCBKdwaat/CS4SyoC8eig+GD6cyMPcTMVdLjviwFiaAaJwDWBzlCuf48DjXmJdqenClF1EsllG3
ba/GQDw5erEBpCBXaIjqHgaYHNlHuR+aTFP6SiHZgJZioxYwyMaw0TmpLq0OQl004aIIoHuFox7C
1efFQ7JQX7ElDYelTohuPzAP2VBstJwYGSUxbVcSL/MQMQ4fjVb5xyq0k8HxkHXW94kr58/gUTGA
dHXi2v4X5BnJePLkkweXKuh170BNAPWmxODVOE8eZ1ngt2ucz3QnoAiNaF/vHW9yk6kJ9r0BHbaw
ScPCbD4vTf65HgyUbqKDcHV4liSUcc3KrCzNIUDIBpwus0bSitVEAW+/cqwZibEV6iBcGFCC0SQf
h29e7qyXvlw+ydbNT5BtIwzChbhMcC+1VGDfOb2PeRRRArHEKBk1kO5m81yebLebnoMQyoJobPSw
Q6RFvDJfpiz3m121UBJXSBZIAyDHEQ9X4AaO6s8LCUxSQjK7CxBvluSVtaBY+WGk+xJYrkTcwUJk
nirSy5MkAOmDDa53NuAe0XYiaQgswiXMGmcEfwFL2qD+RiOESkKC8TT1dX2HtaC7ERtCGWxYZbeh
ltOGX8LCi63NYqy4yt8ATgtQ56hXmEsgsco/m0BawIRdqzsoh9wChrdTIeb2gSz44rMcuT0vVhHy
VxZUY1pv9Nk8LGNaglFbamTp9RvJNm10W6/hDQf/NkDfasDHdZgRe/BzsPGHsdWNF71Rd/lG4kFm
gXSrjdjzN4qPgetjG+nXQfVVvNGA4AMRfcCjcqMI1UYWehttuLLSTpqNSvQ3UrF54xehtvO/E46g
HpuNhCw3OjJEgMLBg78BriGQlVYA2rIHf2k2IhP++sRs1Oa/U9V3RBdV76+LOVIVhm//pYrjRT9U
cUzm25lNW1nenJc/VnEIYsGv4z+M7Q5K9e9VfEuvxoF+SHX5o8C/V/Ht1Ow3Ot1133i3f8SuvbF7
f6riWwFH0BZ1IAPAbPVzFZ9a0yPeQtDr3jASr2Y6zAvrErugFJhYt2uoMyJVcvnow5eQ9Jx90TS4
GhC5lribgx1WNJYNWpyGuSGRIgqmEkhBg7UdE8j5LkbD68FC3cRNM35eQvUsJE8Rq3BXsiJTy3B0
qHPXtYi+LLoF5bjFpq5t50rVcGFxy3/oy7CJq7Ae4C3PH9BaProIzkAM4Wpiz9TXLqfX9uylYdcc
/ao7lO5KD+uElQSyniCehMkggcKW3r5CHXA3ztw9Kp5nSH/7HMgFDWB9NNATRKVTO1C+lmXksVol
tM1jYgBJ+614nO3xpTQTi0Up9s7YgOxCtYxqgbSTATGEsWzppay7Y1UyGs1av3aTsCNjNQgSrIJr
CRdfPPPuunCn9mhAV+1GiTBMv25KeN7BYoWE55feA2eFAJIVilK2vgbgkC4T87+sEl9um9fi1oHd
PBK9/ibAwJ+Lpjq4oQW7t9MumVB9cN1LU6e+P+OqjYJFmsO+WUJBD3WvEhGSCr0MXQW6Hw23PjM+
vyWc2tnaFjzquIQxT1EeIVwGLo6a8pQsVbGnFHJPS0onK8QWG7UiBMkzCClA+h+yDnI7sc0CTJf1
csfgINkxDNKprgcAKA2tU0WLK6gITutQXJfKPgwLXxNZB6/5WnhR4dcstXpJk2VcwPrl/pKhlFUp
KQRsp8xeIFvowmwoUBkLozFbO1CK1lwjBwohG3fAfYNsbF2RAmIq9oTkeTJNFcUqTq3bCgeUR/WK
T9oZz4ukR7xdwK0Bvo05iJaGt6mF6A548Ut5dPt+zrgjPixOfzOORKXwXi5RM7SfmwozhhQe4mK6
kIEiAx7O7S3ubN2+Iumol7l3iweFnJKoF6HaLyOy3RwDChIOG/vaRbOORLvCnYTvPaLaGvfBDHRa
zAxCV3+UX4F1+SB5/TydeG3tyVDsRrdK81whfBKJBVEdKg0NKq0jZHWiwxVzkOi2rmIPy8Dtapvb
wox33lyXaQ+PkYRvurog6WjYIwzjdVDr58GexG5o7TGqwkqfJYINYmq8pNKdd4CkHoYSy5+yIFfs
zrHGRxk2g5WQARLZTDgGvkg5tl8gdU391SoRDVJU4LlFl1ly+WCDo4UpiHsxmcKjgrwOmMliR+E0
QiwDsViLbCz4nngqlbKOFoMbjNKHCamXMWQ6H6DrO/qFupn9PrYs/9y7L7nvnMbGm56QFvtt9oYr
A1NrpEAIJME8zlcjUm32YTgAtNTgXnhJrhy8m8CqNU3stYNIMrbX6kxmYkdT6D+uAUhZWawB+JP6
a+8j2Au5P4cGWmVkJV5hMoJHe5uaVB3ApSLh6DWTwEi1NCaaMHzAbl0fVA9eyu+pu1sWXEK7q69H
i99XJn8hzfjcMpSHgLRT4pf6JGf7kyk9D3m6FJlRfcN39mhDKkQRfMZ0OmF5jfzVriHmm7DEzh9H
WBMS32I3oYH1uql9dcBsj/9zIAUCMqspbgeYxQuyR16EiieApgVpumuJCTYqkAkUWSZMBqO/9bkH
w9MkE0Q2ec9Q59Ru2ihzVs7wpWH+QY3uE2Ii3IOs7ajQ62e4eBHh1Jg9PnS1Ew6G5Npek8rzL6JA
lQkbC/jSHJchBs6psfdWhz117uBkgh3AkvMtspavKqdHwK2sPg9BuPcVvYDMzyzWZRzRTbimEDvY
+Lv7SQRSxr0cX3vp3yALbkinZjkMm3tt3JyJrLxF3I6FXjCCj19OYqhuaxjfbCk+VDDCCU/t/c0Z
N8IiV8khRtaJjlTe+1ENHD1HnJis4oD0BnGOTgzS9Vs+ws2GPmYtGZTvfXAj67KKuafuiNQ6/Xc2
epuNNsPrX89Gm83oapT9/7n+LGFs/HVK2l7+PiWB8oH+xLVh6iFBCD7khynJ/o3CgITDlgDUfGfE
33ddIEygiSB6JBAhwWv0A/jEfkMSJl5GAGQFb7PVPwCf8Ht+npFANME/G0K6CLIK1qefZyTtUBgR
PZ9fc5joe+ckmfhfiCAcO/LTe2x4aoAzDCDrDmAxCd74sB/xrdpuSNhWi0EgKB5JMYY74ziF3vm1
ORuUZ7CWyObJoHYsYGRoNez1Q+DeOwPMOEkwhN7Z137YQ+Scd+dRWwilg3vF686eZxHk1vXjwhPS
2v6a9jNJGwhQ2n0pkFymUYQzA713phu4PmdQTJkWrEvB5xQZ9VqMdZN3gxRGnrVIHEvGhutMWrxy
Uq6bwspUjdjue6VX8Yr8t2lHbYm+jthrYqVhtTCnAMqEv6V2y2rsWawm9H5QbQndZWe62wETCyLO
1t1q2QgFM+KJtsgrg7c0QuI4FOdheaBTl01II5ghnoJm07qMYnp0S/qhC/t7Xa5XXE2PngsNQuB1
mOUku+o0Q7xddyVEcbA5Lw+2HiWU7d5ptivU5jqIJt5kREIBT3IkBTbLUbvkuS2KJa4q34u2gqql
V+xDJa5GQz7DeokC1FL4T3O2RkFlfxNVUyVLGKZL4xXREGJv42jPu8EYN1M0X0/d0p6m3MpMXUJI
KnkGs6VOkOoT87XFuijP9ezSNKcMdlXRQqumD7mWd5vgASIz+JS5VR70uqVm9DYaj9GpFvU9dvGT
oJjsLKgYviB7qofUjM8x8qt2BtFDkbGxo0OADwJCJWC6DqbtzjMDhGgXwBJK5INBTwLZJi/ce5eB
8KeGjXsEYruon6GDWAhkTZNlOHceouZ5qA9TaZasqcg34CNf7doNMo3MuhMNa+ThidKVt60KakyD
TLqw49RwctvWMSwLG5WWfCktAR+6dRls/2EQVlYJwLHBotP8/7J3ZsuNW2mXfZV6ATgwHgCXTYIz
KVHzcINQSkrMM3AwPH0vKDtdyrSdbsffNx3hi3JURVmiSAI437D32gnjEQPwY+ZcyTxfu7HuxbW/
ajRlmYk+2fapvnHYr3mVwQdv5fa2UeWDNsGmLi3qaNd9xtZwKtTWoA4Y9laqnid+qdRyGHbhYjI1
KkTlRW+0d0UZdoU5HQ0aYuoBTuzCmfaQGJy1FSNKsK27amIvxvBFMtXpWqc9mFlyBMl3ZjmqcYYk
YuEn7hM26SeAd65X99rRNXPsz+ZlFW5HTq8l2hAUIrCbAHfcOkNzZyZyNQTJ4FlhcDYlohA1QuOc
yejQFskOp2W6mKR2XyrhreNkdyCuYbz0azsovwLj2leusocKOTF8EPsqdjepoMt37MYzCg30ZWe2
12Yf73l/BytWn40OOsRopNHCLVB76UYZX2TmkGwHJdOfit6xHxtmM+xuxtEHEeIn14NvN4uBo3ll
gr/kMG9Dr1KQ8cbpjIFhBLKodMTMPbfFUZZWdIGbHjRFCqG/WXalmO8wJpeM6dxWIrH0nS8TI2Qg
JOJeaSgHZSMuoGL6YNJLFCymix8+NGaBYJceRrbPy0C3rluVJtKoKCoCWRJ8oMUHqoKbrExoZHqk
QRKI7hoU4KMQNzHfvFd1yuTZQ5NjZE/FyS9DPuyJDV0iii9mEMcLUY0htxxcUdO6VYOSTV08Jptg
DI4xBQ7UYv8qaYsv3eCyHKS6jJnz+Ip64wu+ZaN8broE10q8lXH71a77y9Sa4nXgA+Y3+vQJy/I6
FPbzjB7sHOo5k5oQ0VNcUmfmDl3OeGx8sAKodGIYR3Glv2WiHTZlZXlxLp+k4W+Au5eMPrvnpmUn
VvM1Jz2jf/tBy5t7YIUPllZkC3eIb4Z0POZuv20rvJFKHz8E4biLem7RYThJP9sEmc/oMxXXbTtd
Wo14GkLrooC06JjyoZ81gD1gfXuSa3CYPCzUGpGou8pF8jxVEQy2WGyAkFiYgKpo0TrRLmiGcBUa
OcRgS9xoE99ak2qU3Ll9W8lo3xqCKj5SnzgJDpVPZ6tE+TmKpnZbxMGDNVb2wlDh9WbGiseNp3TD
ych591loH53O3sK5JvTBenIpm30QuqWTXCJ52yYZMn5W7YiikhfFUTwoOFv4xbgdO/9FbZM9n7UX
TUO+gGG9B2l61ZQqf6bZ7KFj4uoTz75a7hgNwj+VN75pe8grJnYmwAqyKDyr5vDVV3tauyl/Vk3I
TfoUnVwr3VSQa7McM2iSF1sJLWfruNl4ZGRPvaszU4yehV8c1BpQlc5af51n9BmFafZnVYcNARbK
YGxYP+ZqCNVVdS4x0hc4bqrq0Gh2sGzDIVtbQrwiQ0DMqwbKY19ij4zxPTEhRdBsmFH6xvrK9nQD
fpzXj/oJmKf/9VN9dv42uv+sFGDX8KnMmUsQF54XNg0DabcDE/vHMkdLLC3Lcl+5iOM7kdwn7hfT
2vzPXmKutD5t8UauYpF0vIRakYhhX3bl5RCff/0a88Tqv3uJ72+D6LdZQiQs46e3oevdmPVuFFyy
AOTheDnRMQ63cJB+/TI/LiS/vQxjcH1WawKI/lD2fHorUMtHw05kcNll06qKmQNDoVWqu84891Jb
iKaGH/TvmPWboEyjHP7rVmKXle919JL+sYeYf+73HoKkATxMKq4EC3Le5x5CE2zFWEGTtAzOexbB
fp+0GgZZn2jQWGTxg8go+Jq/T1r139DhWw7ob+Obr+qfLLBRr/1wXbKKQ8/GVg7rJhHB6GB+uvbt
sMLypFQj5TwgJ3RC4INOpc2Y8as6TbkF45i0F442I1LtaVuIJMHb7GMJXuHSSq59Pew9J/exAWlk
szCA018DlgzLwvWRRyY3iZ9k5zFBnVJNQl9jbQ1Ai6rNqRDia1g6MdsY9j3cg9E67DrQKk1UQ0EB
MyMzzTpOXZPtlDxtK6B55HYsB9GEyxgqwEWJ2YPRh3uMRZscXBHlHlbDcV1bLqdbRZ2XZmq5zFwN
1ynzNjBn455q8OgUrX/IIjhbieJyUriMwZHwCMaMBCqtB9cOPYis+rIyhoSC8UNhC2gA+2buqaby
hMPxshRDvsdkfquJUPX8zATeG4mSgnRULupYvKLtzxZVYWsI4OOvUxw/232E9t2UWrbrfVg3JU70
O+aRvgcS/xSAttl1Yfzewj5+0smSuZrStlhLkVae3aQ6M71524blyz1IxddWoleVvVkO6tEiQ2oT
hTrDaVyhx9q2r5w0iG8yLd314XhLyEHO4z83N6pTXNkCqp3r18BqEDZ4pJIUuwkHLXb1nvHwmChH
LUTOa491aD3JEsqqrxrJofUxtXCEK2NITVjXor4M+e4k0+noNMIVpk8KMLNXnHFqD6zZVQDCOG7F
aEa3FWtXtqN+q+hdGhH6k0z7WubuZSRHgqiKyQEqQHCM4V+6fkFZFyXuV6m5yVEvXA9F3XTD8lEb
vj0x/19zQf8/3PhzxPz104sAlRf5Xr80f3x8zfL+74+vOQFtzirlXjbg2c3PqN/X/epvrmt956Zg
gvrv4wsblsoPqcIFdPyj8h+r+rzTQQLw8cxT/5HrnPSVnx5flgOWDJmZQIGjozjj7/t8dOcBRI9U
OsWlqqbBFqzXJgwQntdGf+hsOeIz1Jvj0OnFxlAnY+MO3TmPTXYFefalRu/o4RXeEjJkrVwDzEjQ
C2MRm2G1ZEsxgafodS9sHQXBmJg8IFHZuQrch9CiUJWs85f0PQdI2cfaMrdO4bJ7UMINrfWDD8tx
OVXOaapHNONFgos7bfdBFtPimnBInSijJbdPHON3gcXato2cKxe+i5fXEdFr9YuOOA0gcXAvM6tc
9ARXgGq35TKR00nk9sPg01uj1Hh00+JBDJBNEu3Y2+mtYmWnFiDYEnjzXV4jelM0IPx+f7An8xru
51oLlCc9GpYBmtdWJZOrqUswIsUjBqcLI+TpEFrDRg48NLgoXlrmJIt8SOEv2e0qElO4wPyaekY9
oFvyq3EF/rRbSSlBRMTZZd0P7IkD+CkhDy1iuy76WYwbTL22QSuwjkVFGpmEhJEgeVT06Wz44pWp
0W3SjeveYeJsBPl5MMV6DLNdpGdgLuzmLDr7Lqz8YFWa46OIcCpEvVXiCDLBK+YRxNZobODE2ez+
pqt6yO01vJD9oKXv4ZQBhG71OxHWGgBr3V/Co7qMpa1fpL69HZzgproww50gAk7tnYMYUYsgol1H
NlBTswLW3E7xqjVaCbzZeQwFax/QnvoiLaINNpN8kWTFa2KLwotbxP56pa1TBxSzymaxHbcRQ7JZ
mPmlro139NfvrCaDbVCZFzPGepBVgEhLZqt4TM17zGkQ+0eH+bsfod6p9pkldqmlwYYP17UTkB9G
bMBqHDil9ECMG+fDlpBbXbvq5Qw27d/cKenrpaXiJFYJY5sqs2FIVe1NpeJoI7DNFXMImD4DEhwb
tKvpbPU5462ohxe62Fv0Dx6KBgReuJa5dLmO3IfCkMYyrGhY2IFVq8gNhlVid7iigTaz0yBfDoIc
Eg8rvXYlwTy6D+uHMLrcFUdfNhqHLDl1nE7cFzY6BodcwbUx59kh6FHXypxxp0LGPox6foV49tUI
Zk8hgXhObaqLgZiCXdnwXsK2B6E6EWtmEsQWqNNlUXCnxHPKHlbns0/sXpipqlfOSXwi5gMERdQS
0dcUV5Fploua9D5mGsygRHExzNQfScKfqxdvZpNCmCD7LzOzcmUnTeIpg5J45RwR2FsVjXTFhAfd
34YEN2Rv+pwpWB/jeMeEchUVyHwrn8tAZv7LOGPp9bE6+XM8YU5OIfydba6BTh1JMFSC5D3puGX0
vODaJuWwcVECzrGHVCZoR9L0lriTr+6cjcikkCXdHJdY5GjgSHlBnw7WQAZVflT0wTppBC0qUVZd
DJKmn4CPeGW7k+8NE+OyzvcLOMOkNYa9PMk6cRZsqmK2btFNWHM1W2YA4SaNQ4Q0fOOEChDNM05X
hV8KfO0okptMTsuSyEgDNQurTm6scEIzrUiItpir/bUcsZoWVWtu0d6wnw73CRkcaEyqq8w0DsgL
b1RfvfXnJDRNl3vfIRsNtATSxaao6xgllVY/Ji6AuZVochEvmy4+dJ3Ejd1KI9MJ+fNzvPlRgwQo
CM3jx1H4b01g/VI48i18+o8FwfxT3wsCWDN04ew8Zs0+qKxPBcGHQ8ZgU8I+EjrifFZ/34mI35Bx
YJZG+6cizZ1FJd/7mVmQS3OEVNc2DW2uMP7BToTn708FAS9MK6XyN9BQsYOZ+53PDbBfqeD8Czwy
PJYXAzOrekQ7myQwRFTJTLxOmVbxTEXARoKX06OM6xvEc/KcNcXOdtnpNcRHshuuKA4ivG/xabQZ
6hQom0hie5MqFlqlmFNsFGhIfq+fimmeqankumRNeZkPKpMs8Qy84dGtAswBoIDX/oesT5nWKYti
5uthyLqSwiJQENSV8b3l5M/lWNxJEh5Y7Dfl0hfivq7aXT7kD62rPPg5U37GE1CjTjIJj20RPTcF
9p/Itc+1Yb2mgFlWGW8MsFMkNsx99p1WPKHNGuG5GAQ4olZeVmnPsKi/G/WyXgVtvzZN0FJ6bADP
7lFaYNx7q0JEf04qjk2b3vY5WlwnsFZW4lwXkftWNe45soaRI24MFur8IPf7nkQviY87f/Xb4smv
9MumyF/R9gCUSupg1SGH2DZ2dg5KdxuFzcKMg+dUZxxbpk7p9QL6cl8Wr73mnhJlbL2M7IlFOeOM
RzNz11EF5pJm+QhycV+Z/hGQuDdFZb0eAaypdb8PXHc7T2nHSX6NzPjdzupbg8WGb0yPWTChoLT5
I/mSXLW2Fn1vu0tdpRzTMSJdCdmcQnf4msIR9RivbgqeUMuujkmeUPUHM7CuzXb0PYyUt2agf2Wd
K3djNP+41XVr0+geM4QTTUFUG6ylddcyc0bgGG+ESJ/g2CVrvewu9NBSF1HCBrlipLigl1yIKVmr
NgcmS7gNCNICsQAzaKKKxhVSlX6pW8LrzHkpzyqAqgeSXFMeIh9dzwRz1atj6JxWP13bqbXpc2vd
VWa1NCeC7wg1YVvVDhrSp4YzlxXcwrJ7hdggLuKx4TvM9JKEjnq6YX/Gq+YOs2O5JvTqZnKMfdQn
xsLWU+Bt1F1eQAbwgu3Da1sMj2RRtAtblF9UrWC1XSC27Tl5ezUCaIfXs1DCrZorsafYgNJUtdiA
Nt2QvNMt2cG52zbsmRdI552a+OgMBPCV6BdX5ASRpTqCD+lkvgqy4a6oLGB1GHC4GvGYGu2XpnNL
ahoNW+hUTudsEPrBzKFkY5F1g12KEN/wmFQ86E5SS5aJTRjd8zH47aXe2vDgRAQmVviZmt+ypW8L
jwn3RGJoTUrNUnMy+6z4YSTOY8UY1qiG4Al5yQrVp90vzND0L0pUN3EruqXTDwvVCrah7QY3JEHN
GylruGJFuKcRjowVJfss5ndShJgfEv/uQ+5ffUj/WTFjA8B+ytw7vSq+WQRiQ39MelWNTmleYiKI
01DzBmG/qkHXkacrxho+N9lS7sSKygQIjAbKDm5VsryaJ92Xge+FBkkIzG0z4T8z8gjNk6rXGUHJ
tEDl8t/j8pvOkinuX7fQ3nv6nwvWme9/PDFpa38/MXXjN8TVNMOzJmAGIX1qoU1kkzo9MhPubzb4
7yfmHEOqoh4gOIxJn6p/srCYSA8cUr+ZiQtjztv4RxaWn+d/JpZ5DnKTh4vLdPJnbFvrd3GTTrl+
zpHWqEl0tINkachx9emT+ZMpvu5QM3wegMNkQZXPwQxnlXG+9XOnTvZcgtIs6c+WBXS4DVTHXFlT
t88i8GuFHrCW6W30M21x6Y7dsUrKO1uvSWZq2mHZs8FfJYwTD5LhHotFlxjGETYGtLXZwl8/9k3J
pM9hOR/OEsmwSW9KXnCpl+m5UCMovjYbZqfSK88hsWhpoO5DfuccqmxYuohDl7nWQM63BLLCJIfl
Ide6abUQV9DUN8mARsx8UBiOumYHVFMzHkMzLZb0yDfU6NdKNlwoinXRRqqkf0RyRHLprnblRe9n
OBld7Q4yccppKaWnz9zjTrZXFvVAb3YPrlO/64H9HGQjayoK6qSzgWqP0dmq/YOAg7EGprAVzOw2
TVjzDdX1XSGCbeSYwTINwwPOqS95HyZrycjTE5J1XloMJdusWedHr7DW2umZVcqsko8vTQcB/MxU
VcCeVCzX8ILe1U1wKgZAmYU2XttVt8G1saU5JeCBLpA/1MBaRNTkkjnjjTLits3aylna7rPb0iTi
Le0q5pNNZyYLLm0PCYzN9xdvaA+/OiPtuiqskyI7qM45WtYKNrqGg1LvCcsagbH3oUZ8hJaeyaaK
14bRb6bMPAWBHyxazdy4lF60LYySFWFJr6zcZ6weW1S/10WOe8mYmnvCT1AwkFO0MNr0pum7HaZf
6dWG+qqmVCtBP96nUWRtBmO61AeSupswlkQq1W9aqr/pbPSXyaBti9Td2TAvAKD3G6bCVxmhk8BM
xNE2pnwp0vx1isvH0Oa8yERxC3o89kjxQBPQGRuUrmBN/DWaPhKTuMRgn5h9uNKGsHrJY47a9eQo
7bi0xID3VR2SCDKuDrtwS+oWM2a7X2tOPwv4UA2kqUV09agtVZ/WzDTeetXdRZa2lhOdOhviUt4n
ljHLDHuNRbwVzURxdBZeEus7g1ZTQ7HbznMIp3oBoH+tJco7yiKCRIBiF1yNCEslvpemXQ5u7xU9
4RpKZiGR7eXRqeHRK5x3VsQ5LhsZIZoM+icR2w3KgfIURKq/bGASEe++CM3mWMYQItpm2/ftIwmc
dJFuvJSxSpJbcUoEt6yRJ2cw3odUUXZTiiI4DMJwNQ0j2m0ZvYkeXGTcs/AcOu06bMVmKNr3BLQ+
jk5klqJ87OtVdmvvQrMmPE7ZjsJ+GVAXgKZJlljVG2rg59S8kT00x67blwyXU0rtOK+X+pqZADU5
IFmSQnsyN6SOx1ej9IqmUm4MO27XKtsGkBrm8xxng7W3pyqEXmn25abT8kuKzidkRkhvR/O+bVXn
VCpkVN7ONpTAQaawBZHMqvRvHqM/tjfcNKj1tTl6iXkr7mnCGH5ob5qmgfQ6ivHc4yJemBt/P9wU
p13cLpSX/KFcIUla+gv/AE+489BJ7X79+j9tMb+9vAtKFFMlZac1/3mfuqva7yypiG46S/ul9Heu
2rL1f1ZY/v/z19FRyc1kbmGqP68x3ZYzKyIq7qxFR2KaF2n6TlnXd83fvM6Pp9+3j5PPkzNQQ+BG
sveP76diCGZ1WqiehXWoBfgRxiLmw6/fi/ln39nnN/PTi3ShqjY6YJKzXDf34TJZya365kAQXhSn
jGtscY1yapGt9e3dheOliwt5itb3zcpfXcX7frHFRHVsPf5Fr1jzn9X9r/8+/Sej9seXOvMPWQUa
tPQfFvlPX2pK3C05Cqp2Znl04V+pK/WkPQR7Og/GRd642D9pm2F5Ua37rWUtswPJEldIvtfAZP4t
JL9tkmdUx18XkjezYaf+YxU5/9T3ucvM0mSiMasgZvivzpX8+yJG+83lEp7Njt8tmd/nLgS2adRd
HLTMWD7o9r/PXZzf2EYLikw8l992NP+juYtFncqjyUJ5oOKs/nnuInWE25XijpeWcJu1qqQ5U1kV
IFFicCocHDUerEUlLUWBH52Xp77vbtTM2lgOWStNDbAoClXrOOQD7vtYzxcd6EvKSVx8o9GsdQ0I
hijgFzAoL690ExO/MFvlkI2BtWni4tGdIGsrlvqaVwyJyYe8yiK0PkAlU08pZcpGAdWFg0Q9LySO
wNJOllHRgwh3QCZ1UYBvO9OvEkNJdzLD+JABsCfF2toqNl2tZfjNTkvoj4mHyS2cNck1A6j3Pqlu
Chkdy2w2O6pC2cWDMjCLSFNIvG55qXZMgqAmuRW/xdeSE/rgnjSnzmuGPPX83j2pJh+NoadEyskr
NZnus668c+PqwJjkGbP4Ji4z/tip18nwiI+mNeLX663TVDpvhHnSyI9EimLLOYBwKrBN9xXROS0m
SjGsXd1/TUKD09spQKs1oAYrVPblYzwPbudF/zIKs3rVW+OXKSKZdtaa9055zb6JOXxsVM65+RCl
K7M+vQx5PTRJxNNBhsffCC0JTAo5MgiIwKUQlaO5a42cmclxopVly0M+gIxBB8ykuSF9JO+YbZlZ
TFTNHFrjBoid+jnHpiMEZw624aG8kgNRN8347ttipetlu9TJwiHg/GtnA3Sw55icdg7M0eboHIcM
Hb8eBcMIYnXKuLwKydlx5sAdomrZJM8hPLUJLCcnl0fq7X1MTk+nZjCmBahAJwVyR5jlHOmDkIzz
XVwN5I4jBnYXbUYu6xwDJOdAIGeOBnIakg6iJGg9ew4Oslk9rYo5TKiYY4WiOV+InKHkI3CI5CG/
d8i1rAgjakklAs2IuoqcInsOLGoGBYwMgaBbpmam17dJsioDE4KHTtiRqk2lN8wBSPilbuw5EmnC
+rbVSUlqweQtYZniLR4IHY4qAsdp8Kio+ivYAE+5bfjs7DJnhcrumAl9C6iXxJ7AvRxy3MGpoltL
OyREDbnGQpQaMIwew3GcDpfFoOzqArAjIMtXEoiIcDa+lGN/js1umFfx7zykLmo9yBZ171yQP6eu
oLqStdDkErRaczZK4y02gWg3Zbg10vFLH7sXg57fkJwSLzNrekpB4UJqtoK1Y8XxukS3sGh98dQU
FcR+9AVxnLzHE8o2WLebqevtGWxPuc5mBplAdFOEQc9NHWEBK5OHvC8eQISj35LmS63GzyTJoSpp
IdqUrC5AbRknct3u41o5aIHcI5fjoBssQh3LvY9AgzB5OG/glxaxqzy11bix4+JY1BljSXsOugns
x3bS20USGO5WlrbrNeRab3uNC4+JqHmpJwUiwIpU5reP0+DfdcRMZP7rY/FYNP/5X3nwnr7/iUhh
/tHvZyM7CYIp2TDQaNtQOPi/vp+NmsPZaM6QoQ8vq8ZU4vvZiBmDIpaL/rtR4787CXLSZqkhB5nu
kpj2z0JhfqwxUVhpGD44EQENEQ7zh5MRLBbOqdyNLzpCLy0ba9rGrB4+fTD/F+OVb69CVU4FZ5no
ySw+g8+VeYWnCeGvFV+0RRylXuGo+CrdenSWPrrwVWw0xJWRS818xyFYogzjZTr5B5KD42u1DK/S
yNnoVhgdmTuy1NMUhPIkey1SLVKXagC6Ws92nQxPkXS3Zacd1am/Irr7VE3FYaiNy6gO9mqczMLx
AD+kWmEnh6e0oGUYyeJy3+h9e/BeIBdBahPilHZfWSLUC/Z7WMFoLVweZfz8YBNaMjKrFftembKN
3w+2185I93iGuw/dVMwugRxlmm7ekzhtbxh8G896RuC8guF5E6lJKFZhV8HzL8YqeSDGZfTGmb64
DdyZI699MOWl4VyIsRmHjT3j5gdge3CqeXQ595Ne4T2sdFLulUlYGw0aLtEoOFXI1152VsYuYMHj
Q7lkpKSc+P2l10Q4PJShOxRKvnEKM/JEh1rdDXUIj2D6eQ6ayb77wJ7xeiDQrA8cmv6BRguApBXf
cGkaQ3b2Ru7BrYW9lwATn5gumg/SxqnpgGG7MT8AbE6RcLLqOrP/rRNKIr7UvnHvisIxFiLnFFU6
kMF6Sexq2iX9EuLWyPFnyQu360iU4zM/5v7UvDRhcBhGiQBhQHHgVtFOoXld2czqF0Eq++tJdkiW
SW5xC829DkZwVG0cRp4zuuG6KAEFDAkAt0Lz7Cp6ILSUdJ0pk56oomlVA3v1ENmzCk6HaC+mLlzZ
cAk2bZtqy9z1zYsmlPocDdRshCG3mEFsLxz05iooY23lKNmJY4NldQMsHXGMWVgQJrrY80W6LSBE
eoGhnhu3v8HBIe8COThfCxVjHWMI0Q/iaxF1npWR7udX2q2qdOtAtGtFL5KVq2TrxGGUj/6D8KLy
rWna9zyq38d4vAdZw+BI7l2k0MxqkS1OG3MA/ACGzXCBLls67ChAZbX8olrdqcqUddprK6OG3NiN
rzkBNEHxyi5FY7+VGhv8tfwRlnyyRPQlnYTJdjtp9q3sZ7H8dMTqDYlTPwER8foueSr5+prWIGvW
sVe+FOtAd7adOj0NfsNmBH4Y284FMYEkuREVv4st7KfaGHpU62fe4zWrKXYi0RR4UY0TwpTsFEJT
JMvQ16/aFB4GRPpDoA9czK22SauBvB4fF7CTjQeXm0gFdam7NZsL5+iUxtEcigey95aJZd90enAF
Cuto87+l7h6zTl6FbrRP9XKFpiRaAXhjbIXiIQ4RI3U1tSnKg4tESZ6LRHvGtrWPGlCcqbOPO+0K
dZBHkLxXpOnJMmMWldV4mGx7W4IMY4k6vlaJvSXBwnNrHBQh9TSY6z2ZF+OumvJ83zrFWzb6Nilx
VNZjgPvSGoxkU7klKzNNuZ5GpVr/+sn7JwpajQQ7nVQxFZMcuv/5+f+pfQ5HLWtGkUYXRZXoK5m6
+MIlIAJGremxzQw8chDtgwIhU1ZO71pZNVdVlai3Dt0IiUXDNVvGozr4XuLaD+rQbgDaf82hQntl
SS0exAi42Jyti4lrOp3lQL7VLPsYHI1ZSd2znXYri+ILkR/dMoqbex1V70pqLUslNWH6my9pCJph
BxvRpsbKN1pcb3RTMoEj+jEjKTrNbjo73nd+cpiadF91+tEuiyN+EfztMFcpxaOtjlVjyfQPMLRS
rENACYByba9Rm2tz7LQllJy9Grrc10agHv2WijKuh7s4IgHBFR2b0lG/NCOmp5UAUTNEyUmW00XY
xLukpxPs28iLQCX4c1FL8BRFsIM3oY1XVlAeCa0nUiHXL6O0P8Ca3XKu1Qv+yolzrQH/Ul8mcXoN
2GIO5WLTL3IlWhr4BP26PkdGI70MNBCSn/jOBCaxCIboxVXtQzQD8wYuUKee1klSvSUVW8oym9N2
n+JsJEJULAVhviSCnoymeCtc+6hWjKIDV3nzNTGxpa5ILMHKm6QZg9Nyfpa1xwgejK6mDBsJg3AU
iPCZrpE9OSYrMwwujcnSvHwWyJlljPAqi7v7gpn3AUpWfUqLPvub4d0s5f6vBeGjRCA3AywaHFID
q8BPJUI8sZ6tSey88FlNG/G+1ru/Gacxn/j0CvxKMj4QHKIAYc9FlixC0s+3Akk8OYbVILhIMR0q
4jLqom1UXtc9GI2aeE/IHW68+psbcE6k/+Wrzu/70w3YlUlbmoainNQxv0HrDiSZ/8Kp+BjQKpPD
nMfL1rEehG/sJB0TOxts+SkdA6bEqFhiEX0sFPsIVF5dNlm4Tt1e++KE2HEyNb4TTtZ7AQ5LOzWf
hJ8Mey2FWM7VlBerbrLzlVMqsElKySokH8ddN9jGlyJnhmxOeIqiKHpNuVZXlSpCjyfw6LWOUJey
c286M502PA/vQOToO9jNsFLbt9h2txxKt01drwVBIUgMIDmoobKKYd4v0j7PN1Dl1SVhgyYmPyuE
cDpck7iMAj2iMzcCssLd8cBF/7Vqep0uLGJxwJS8N2+HKX4w1WRvtWzt8TYFpHKguItblmSC1Uwy
xQcdi1s++rpnpKrKAZPwlFUfJPBmEAXZyYFektf9CrY0V7C6Stogo3MuQZFiXy2nGPpD6p9KlkOB
ZW+1AgC3Eww3JN1TwJXKbdfCqjcMZIWT3W6UEi2s1hUvIqhOtZpdVSXDgXYARqrtJRPnhbQM3PoY
9kpNu8vHcDv4w+DJursgYc704tLa1bX5TnYCcbOAnyvL3ASlebT7/zOi/Etg6MeE/b930R+vcTqK
z1dbT7Kx1CeutviYn4MLZV0dqnsWVTvWc0eHo2f5qvcQS7UT4I1vmMi/fPFZJ/UnlzpEP2CIQIDn
jJ7PL66VoUM2qqmcSo9hxlFfluuOUPaD8mCvaWfvLpXl8UGuWEvIF/6RXoAtX+yjtX9hMLH9m7/m
x8bm2ydhsJBAgy1oo35eBoxqnzGRjMML5uelkS4i9aGW21/f3T8+s/74Gj/pu6c6I5whJKClqN6D
mlXf1a9//5++B5vZt+2YBhFmP32bCEcmss8rDm/lXLE0rC1qzm9PqH/b93kt89ft+yr9j1fUL29/
AlmYf/D35t0lhw75PtNoxtQ/AgW134BnY5mjTceR7XA3fG/e3d+YW5voKXRzFkfMWsPvgsLZfKAz
eoXBMDsWkGL8g8G2OQ/WP91ylmqBPYDyYAH3ZEPE7/3xlqsCny5Pk82lahb3fT6ydTUqT0HQsbDj
pj4rkx8QoiGKR8tkTok5s1q0tgL6MwMF1SgyJ8AEg3IysXlUffMBKbGNZssB/sfsfj2ZUJeyaIoW
rPpns2tXkJ7q8hSH+YOceGJ7wJbaGJxwL0r7zm3yHbvSfC2mOl3YVrHnzgy2tWHv2mh48HtSkmVc
3tTFPAxTInerqcFrbrLeNdQDSKGLQg2ZHwe+tlDrWFvTzAHq7pVj2kebsWJ9TkbLARX6k9/q+1aU
zSGch/UySNcBAaXLrqeVE4P1RdQJIVTtgI56wDblFsO7KMQ7es/YgzTEhLuSJ3cwHnO9yPfMd7Hy
286LLsOrkFH+jj/z1c2zS7rYhWNIe6kQlvq/2TuT5raRdGv/l7tHBYDEuLgbkuAkiZoHa4OQZAnz
PCQSv/57ILerbVf7dtS3rojedLslSiKY+Q7nPKd6mFIVBSzUdpkBsd8Gzw84hgIawEqIYprcwHfc
XMG0oPyrvN5ZwP3dVt4gIYz2UAjJ8BztKMjkPG/SRHOCQZsu3VhiwScwICE4AE8z+m3TQGpHZN6q
rMkXIJNmR6t7EE7/XCwJBI0giwDL9OW8pBN4unpgTiy9q6kDpVf304y9jEWvfx5r9Qc9rb0KFwxG
lw4WwfDAd6w5n3ZFwt3WJKl/qDF6X4vMvAcRk6xqxaja9EAARJn4MuvuqsZB7Q93g5NHJ+LT6+Os
F60P6Cnb13YVyFS/MdC3szr30OtjdFhlevKwGCAYKQ3eSiz5Piw5yPd2atz8Vc9SWKuu6B8Ih+mi
HR34nauBs5Rp+3UYkPvkDq7kkj8xeMkwnR5xzn91RXEeagCjS6NpYIaxRnC14cWiycHVJb5oZv6M
aIT4isjdKd+CdBCne1PHPuHCOmc8Q2ctyk+xoqI1n8hALvPs3AndC2PQ0OAoHPNz+aHnlReMg+eg
l1SAg7LIXo1a+mY42hODLpwf000e9+dq1O5w1Tz3LIGRvvi4q7WzZoIrLcL7qUzPlGRG24TmQ1QQ
vx634V04uWd9yl+oNiPI4TVqjMzzT6VpfQldec+ibF7laBnXk8aZ7yb6a2f5N7JNTxF6UjOkhfDc
8VIa1o1Q/C5FmFy3QC6gDa8pfI8RS4PBkWe1Zr9Gqn9YRDhRaQNFsy/jZN6LtljVXCtwItWTPXje
Lo1ILc5IJ2SqxuI3agiV9BdyUzjRUI1J+9R2xVH440UmzEOszw9DCWUMl5+gnJOHurWTNQ8svDUt
vwFK9lqLAoJRlrcrSAY7swcVDGbIC9gjdAHk02KLPHA/W/QXrI/SQ+nW66kztp4Jm2M5cTmljCrI
aAOrgWbGZB6/HUZ1HemKcQL59Tp/As6ka6Gci3Tw32zWCqignHvTsS7AgqRrMQDRwr0HFXM54tp4
JhhEvzX9cpu7MRaYJeqng4CHADzfF/hGiBbAB1T0dFQ8b8Mc3Rq69eoWtOrMNi7IyAt3UaRpW1Rp
N4YrWgZhmbFWpvtqJm4WGGVOrIhTw0vXZjzyhERzkm4zQE1tP4e3aQPihRTLuzIZ2SEabvJWxxqb
w3EMyHYjuyR5lPF42frxHk7Ix4ywI+ixRkFA0yHSNbWxTjqbCSRqsOKxAPUXXcwmIu7eGasA/O2Z
7bV3Pl4XeFsu3M65eq7mxMeSNAqSAOencPRJ5Ry7V6fXmvU8tFcY5U9xZAANCJ+nbvgwmMrwMW6P
+WwGWWTlwdDb10M2Xww+M0xHbyt+/ybw8ulc1wCctkOpL9sZpMPzcCcm8GQhVNsqfUhHUCMZUTv8
NPOTn00XXaMeClte1zK94nngjzAN90VmnGYbM0bPvmQ1EhOGO25AltPflkKdDKc76lN6ZunTfWky
hrXsK4dRVQ08BHgrn2ordjduTtyoggVBBhga9STt03WpsxHhjN3IpN6XTblv035euUXHseOwenEE
0mSDvEPHCPOdU6eHefb0g5bJQ5nSDrUJDiR4i+YBSlqy8fN0CCpRl0Gm0/8T3mcsffoWzGP6rVf9
pyrTqVB+X5VtQav9p6jh5av+LMm8Pwj+ALJDUfbLPgU/KNQp+AI60gFmXTQg30sy9w/+uwvL81OU
+lmtfS/JbAJScLi7ZNYjA10ksH+jJIPV/mtJ5puOTWKDt8SgABz9pQvKCrzcROK5p3DqjlHfjOVF
L03lrNNirMGVlwu63JOY0ItPnnnlL2mU1SfnnLH1l0l0t0XcqE3cMQ2QUNGh425Ql6G3W4DplZE7
JNulrwLvHB9UsOpE5NIRz/YJGUaP+k8DVFPcQAN9lENlZNc9OM5bXNB7Hzl46YZA4fgkR3qinbKw
9ECCjE2A/jr6ouo+vgo/xeVxrtwru/SQEFoyRH7ufErR7U9ZuuNqYhtyTsmg+xSuN58i9oGLeAxy
pO2ZuYjcu6zCTQEbiiu4vZCpdZSDfWMT+gvOrnzQ5/xuWLwD+BLezMVz6sTDa9GTX9oyWAP0/RqX
6bwCt3VyBvPRmaaHgXS/taAg1EZtoxUcAdFitbTq2mDgj0G8K10rMKz4EWefh/oxw/xm32aevEzp
xDdKS76yV7srButdt5gDdwV/FNvrr11B2x+h4NhLvj8xfHX2rETEPQk5RScQcNMsAtIi9+6a3DC3
FZJ+7HK9RgS5uY9hRpXj2G5IYTiIGLKJDaIF5qILewjjSWCmTc7BoY6iNq9DcyjWs4gxolrmvsqQ
T2IGkGtfTeZBEQWzYjvyVcda7g1dsSZhOcTG2O2K0n+J4urM8d2zTvjtOvE0SNizz/4d8Ygfd9sp
1L7aPk4efcIYX5+iFgQmaNdN3c7OHiwL2I2w/ugr9IYODgrSB4s3ibsECnT5xCPdM1Mf3T0ClmzL
43VtGU0Py6Y69XaqUTeGV7mPODjCwRTFxk1Yo5oZuFHZOLU2mJuxW/Cv0IuqpyFlClpF/bHnHey7
YUtyarKbbNzLjt5UwVxah2JUl1NjPxpdfyJQ8C6F67QmNf6hiOKb2GKPU+vDzogW8YoDqWqM2xvl
hnewKa/nZuAjYoDKVgZbCj9hfGW04dWAZEHloQZCXHtrGy2Gi1BnO2VzSc2Gn+O8Bhce2R1IcSY0
hqXmY1W7l6mqiOfxbLmuh1KsmZH3sFTlOU7gryTQEgLpsS3rkgsnrTFGMZ8ls9XY6ehpyD5rCO+y
io1lpOz4a7lVfn/pt9bTqMX6muiCcUUQp7OOB/FRKLYvhBfcDHO97sH4zEumrOtOTM1LhsZ9Nt6b
ci73msXTyQpFgg1K3nNlzlyO7pMt7VsTZe5hrDK01K15oE0UGzLHz+NRw6tqMd3SC8vayia9TCKH
cLjspsjHUxTzbMvYNSi0syAp/CszKputk9NPyFqit27x3TSlc0dI4oiNRf8ITesZJ8gbmI5DIwX3
fIQ7KNTMd6vTHjoGguuiKB4KUGOB6Q+3SrGtSZziS6WsM1urlM2EWcVIplxrcq5F6tXuJul0tVZx
8yokSxXTZilFCNFqsMHvaVMfzBnd1Ti/tsL80jAy3vt6icwdM9mM82bj9TGW4BY2rWNRA5NN/BYq
RFC6S3pp2QOvrPV8r/RKrQYXaB7U4efasW77AoKbjD0cykMoN8SYpwzoauRViX4acSkHaJXfx1n5
m9KmskzNcTOGlbuH7uETpWch7xgaH9sVHRsI2jcE48Xa6MiS00Npn5LJTlZj10wI+bG4CLO5kSUF
jPLwphvzGGRJOfE+Jds+EmqT2Cm73zSuLwpXHlRBPmXJ7LDQLDKSXFZdk+BpBV345rglXViYzoFd
srCxhNo7REwcqtraZszpN7Hr5FvPo/HjPJx3Zdo8t569LVsNfGi4qyjZr2MtcdbE27DChmi4QhgP
M1Erq6XJCa8dhFdbtzEO5NOcQ+PHfV+k3o4+OdpAC9ZJFFXqCAZlWUKk27juxdGsBUb5GptzNkXl
Pi7L+X6WBe+NVNrWhjOw0ijuVxEbhJXdjwdB6A5sMm8GgD+eRbl/DP35TEtwwHkG/U2Y4Y0vwg28
6ltPc51zcunRbQ+4+qn/r+ohvitN5PQZqKdtLajDhlhr16no35yGJQxDZ283edgylEGYAdFHjCDz
+KpPcJGEs77JqmTc1fV8JvrwPMxxYjWIXwHsByJt9I3JjGKVuO2JLPo3DxBD3oUMJLBeIsfSbJRJ
9rESngpAziOmnhtcE7p8MIbspcq0q7xNbrNIW4b3uhOkiwmster3fHY/okK3tr2wOupKi28J/Hgj
c9iJCd3XOLD58AcgAYY+bmTThizSsjPAgDpxSmn00MT5Bl/xF4dmamXy0XXz4gM6yxdb4JqL+1P9
qfHvi7cQ3Uhg+AjuifF6QFaEg4XB+8rUtOtZr/WNlicXBoEG8MCzs7ylElnIg7Y2coAZxvvkdcBh
w3MvVAWkR3UExOxvmkxbpXb5iPHxNJVIIB1VILCCjcYbemw64wyF2let9j7kRPvoMEEpG20fduk7
lpZtN1T9rnNxqdX8q6y0Bz3Vz+forGDo3g4unvnsxR/S17jj8B01nZ2Me4D3vTw1XrTunPY4d5LO
DYxgUtCpp4x+ppnnOcF9tzVN610Qi8k2wr1N0oj/Mwc4jJ7zpM0XdAzMFpSmyY7K7ZkK7JBMpKFT
6eDEcI6zXRXITpJLp/FWoS8fDcE3rye0f2F6ljG12omif7Oga0RuWK5r/Os6btGliDEEF54P6NOO
DSIoPHHCL3HfSny9dUeiolY3VzUYIIRieINgSwwa1lGXbThel2IHNJi+1IRQashiRXeBEJHcyy2k
c2Y/M7YV0B+3xdjwq3nlGMTUncgsEvInxFI9tAdXxEep0o/YsJNtJL1LZaS7at51frYxgU2qcmNM
56z47uJ8xMhkWcUawcAuTcd6pVwKGTG/Ck9uHRm9ek5yjvyzpeTQY96s5qWqWBhOpkxtLuKxPePj
cxcpxmr0bw+ESqNMIUOjawNvL6J8b4JXH/tsE3qivi6dtlBrHfIQ0AHLNrTHmF0wegzCLtojThZZ
MPeSozduq3zU1LXi3Sl1O9E2FpQdmBxAiTaenx0ryRRgIn5vRc+5m/2Ihr7SthoZzpsy0+Q2gXAE
cHLYhGP1BMB4DkpvRK2rIiNARnQv2vJWWkhO8Sh8NGn7aCUk2RcUXlqY9Fss24fYtV7qcrqaEt9e
xW6NECHpizV1V7fOMpaythwNyKFIG4tYURfqXGwdVxrv3/LeUZsPvmLxGsNRJZM0r63N1LunsU8u
/cE9J1TAX5Vd+mL4aoMm79yYFdVNVb9ytwDVR5Sbld59lyTWsR/0d2Kpy92c6lBMRm9vjcMVnJeY
Im/eTbQSK+oauXHC8msri70gd35t69W8bVBUWk1+Y4LOLHuQLHZRyT3nLrnFmH+UzWUHsn0/sLri
fuMF7Rbhv5V3bLQwI3WQ9EHb72qTatc3suesSdZWfJlBf0xZWcpJHOwWkLvvjSetKxtGlP1lYadf
iQfACGAAtlHsLCL9xJpvm5fjyTIvHUZ12txs2laLjqNePWYyOvRx8qV3+/sa2CbwPj3w2t3kuLd4
fdbUvSfVmM9Jbez9jp2+KKLDjNn9kA75Mz/gfby09i61YBCD9D3jVHi2imp8LGbEQlWTnk1xhjhg
TCvyR+YLOSrAIo7xVI86bpzsWsryJas9YDlkrRUKNKldnScifiwkM9DPPvafhn5Juft9Q3+B4OCN
3r3sk14dvv7v/3xzHCxf9Gc/70Nq8kxsABaeIaAN/9ZHmtgK6MoFHT1UQjYpf/bz2EzhKaESwBDC
BsZlL/Kvdp5/MTxC13yB/N4DHfe3kA0LQurnBcuyVGEDZBgm3+ubcfSH9X1TNVbvxWl81QwpVE3Q
olw9tntpmEmMyj/SQm0OKOSlA/+dxCN0t4lrhRvFghgTo14Y/a10jMj/kFyrLYd2+IK0KNUDnr5c
O+OXJkKNoEVlBBGLWyC35CQW8OisuB5pKMyJHepszzllfueHaI0oBBcgvnLo9YceLCVcdjXQZqYA
oeO9ixGpWeWpTV84IdnbN1GLwa0sOu7sRubtJTO9oYF3oqQbRJ5eOavMczb63A/auw0Mf/fPo08z
BSyE0c7vH/1d/l6Wf330ly/6/ujzfHuIUZY8GwsY2bJC/C4NNs0/FhkM/8EBvaAZ/3z0BStJOCX+
n+tF/un7KAtHDZ8k/s30DX0x4vydURZ4k788/JBPdOw5pgdffvl2Py30gae7PH6ef2kWLQJXG8E/
MWFVVF4LDW1QYMdFFz4zrm+viRkrnSNY5nI9j/65k/rnbelnVErZa8aMXVEn422ItsqyGKqykZ9Q
UYgZfohogmH0r5nQfJCpkKzd1qMSNHeaa+KVhY1sE0xIEIJHIALyjL2W5K92SwLHIoGPUnmdLRkK
Tt8idXT2rk48NZMeokLkmhwOzAcEMNjwFU2K/8QkmUEuGQ2DrvZqSW0oNeMVlvFqwv9zaOE71wQ8
oEZ6oxS48GAu2EuUiPPFBwuFBSBbse96R7q8yZbEiNQnOyJboOd8eLd4PMu1ORr7hqCJcUmckEv2
BLadNqiXPAqo/Py2RLltump+ZFh24S0JFnLJsmiXVAuTaVhskRkjhmjbLskXRhsBPiYMA1jEGetZ
sM0WORkGgRkFGG5S2Wh4q8tpSdTQsAVti46UDVKFDnLJ3fATlF8GdtmNLq1xVS35HHCexYaxT4Fy
zMcPq64LOzt08NZWsZl+VcXorfQl8aOtQvaKWExFpF5Kc5DEDBkfvakdDeJCZK/OOXOwMS1JIuNn
pogkXaRackbUkjgyET0yE0FSaKV84v086+3nuXAuLALo4UYRXZEedSe8lUuWSSuRHW9wlTbxuWYi
Tw1KbCzRqs7zKobu1Gd+c5qQ7BzyDpUJMe3xLsHXMZFq0/gXIBzjI4nG487k2j/wd6n1wNKTekca
u38bkuLhr3NlADxuKiZho62sHZsrK4c8MkU7A3wlK+uyRV2I/PvRqxxvr82Z/vTPcfh5HC56oN8f
h5ftC26Jv56Hy1d9Pw+xSjDTNfluCF6gUiDE+H4eYpXAYMhmFU+EbcPl+fd5KDBREOTr2Uy3uPqX
qf/381BwHsKhoLT4Nvf/e+fhcuj+VAwgbRJ8f5+Tn4rE8H7R+1A7qkTCR7lofYPcpDnPfG5oPzzT
pkY/K91uaa90NTxbaXxMQvXFixAs1G76JvDuQGi0JXNVUljHoBF6etBropqnlHZ1bTpx9YBUG+kp
2F3idcqYRaeWJg4peow5Xiy0te90BSG9bmkjou5GxIET+wRwt7Bpgf1AtkMSyzTQGrdNm/rOUS1u
BR/bQvdpYMiSmvMrXXwNE3FbGqo30hHxPNhJCLsAGwSNE7qMxRmhidTf5otbolMsGGMMFPlgXNYY
Kjpbv5gxWBhiZtroo3XVzmHcERgRHyZiLOAGIP6YDVwaVTcOG7OzYmiyzk6vtat0bNKbOvTO+sXl
4Sx+j8jvjPMSttra1GQWKAfwfIthHbn+cDn13aWWTd5KRjgnlWWAk2criuGJZipni1mvE6Haj0z0
t0mu3+JFKGwOl7680hqWlsJCwNLU26h24id617XLADAEjH4xWuQ9iCr+IM0ImGLtouuovNWANMRX
orgF4yC3tcfw221mk8al2JXN4i9h/zKZPWPZ2XU2plHGlyMTNrSk6bASdkeMhVbdOIDRfZBzjDmh
PfjsVGuT7W2iXYCpg5prwMsdauu+A+DhxllCDZd7WzihCX1jAUhgZndeuzVB0QOMAkPzE0JFTBqj
TrXptxLtt9K9n2VEn0I2lLc20A8HTzv6zp8veoSbUs/8Lj2ZelxvyfM1X5B6MihVGUadf86/z/Nv
EWP+/vy7eGmT/1AOLl/0/fij5qNxoeNBrohfefmn78cfmB6UZECeOX3QXS1F5PfNJutQ7PEYy2Dk
LEYuDqXvx5/7h2dYlIMUqw71299rhQD//HL88YNRDzgWZBl+Cr7hz08JEE6Q+xogS1HED43Ie65T
xQqsbhAYz8XWa5wdAQkHW2momP2HokKRqw+cUYXv3KUeuoyqPxRpGjSjF3Yb12WdFSTYL+7zJUy0
IlU00sr20MskYv6ep9qrmVcFYy6GbPGZG47gcOxSZxSbu+m+61nfFThAr/USUEw1OLcyW8S8bJRQ
ulHSlWJTxzMgkam6U0p7qOzyXlT2sNLNGftwKw+OphDFeEfUHBtWFG8ti047KyX5LvpNnZpXvqc9
mGNXQtqFLhn2iy0AxM0Qlh+qZe8fo5IjGyHamC1yatucLvvWeGnyFJHTKCAUVPHXRhbzptfxuPiT
F0R6z4izio0tOFYX96dmqYOcKm0dy+jMGNxLgXgM8MPZPLhr3YBbOhYxqhcs1O1YP8a6/0WzXIZu
uSCFtQt6u3jIkpk9aTrf963cjoNRn4xQBkVdfaBVQ4uc3PhDPa7AU57XUXEwCvWQdcMZpMAPvbXV
RtcUFlYhBpI0xhFpVtbD8cz2TccBK2JnzdjL3ISUz0z7Y+/SVLVaz9jX1jBJibGB/dkvFXKVspQu
dKUFXpbNXFBIVhzdfYtVdCyFoXZ9SNXMzhizuHnwHbEfhvYyzKF9C2bNF3HTNjVOaGcodr2dU1wy
Vj6IHjNyZ1/0E9h0UZnmOi7HrUUobcaiNcsn9pJ4f9NyeokcfPV8zzWMHBZLyIlQ1Dhwl7QXveWc
b0d2iEaG2Kfz3yG/excef9iArLNhaw6xg9BQ4NIu21vSIqyT2RfVmWFGTJRchINzO+zJuCEd1smt
IB/JxCgKY4eZowen2zinAaeiq1kHrekecHDu9cF8kGNvrKO40zd9ZxqInc30vC4rpgccx0Fsg0sL
R1ar5cQ0XVhauFOGoZ/qSZjXicnuKcnGnQ8RV8noWGQYx6fGfEH3bBOwoZJLV0DD8G1rq7xiO/Sd
xGVFfJsty1fVVVtzTJ4qMEl09lkQoQckSkXll8APyVQs/t5NshA0OW0QWwnYYItN9eczohYTbY/m
G5d5cZ9ZX0H9/FenyC+X1fISzH4cYQHVNlij/NKVqjqaOuoi6zLrXofsStV3pf8PYvXb4G15P35/
R52/dN37f7qk+KrvlxQc1QWgihhamPz9f5pZGH+I5X/2XD63nuPyxvzrkvocyjHD0xEqG7b+Gan7
/ZLy/8CV6vAdXf7xk776N+Q3zDh+vaTw+HBB2dQxPCCMQn5+AMfBn8iAcuSlkqJzA4ynVJOs79Qm
UknMKiA862dc8oFKxzFjb2fQjBu6l/SHeqbEmkaQl+ed8uUcpJR5TPckH1bEpiUfuDdS5VyktXUb
zkEftQnj/qndT58TPv9z2qe6rmu3JM8wBQxhK/ub/Nt4MP6cFTZOZM5okj8HiXNlsAl0h2gygsKM
2jmwXINZxLI82fRDRv6WniHQbMfIsu9zAwnyFtkhzHGj5lZEooH9cFT7Sagh/ZDCm7YRzjsdc2Na
9AEycH0fs5g9aqGXvyaMMTY+FC7AzrUaAy1vHQjQpKf6MdgyvdDo4u3Wfh3tDukv9qBdz0ker+yG
8HVbxR+O1ODSld5HWubWqi8iYnMBQuwo1hk+jAPTe7eSZ3HEbs4jMxVtDrc36RjgrZh9vgIOzFYm
nTwyGSIWVq3Oom+wCd3gxNL3ELRj/D6M5Q2AlLBHq+hYt1p+ZS0dST4Z/s6ry/fMne2dyAnaZZBh
7bqqTwIdozbwA2jSlj3kV5k+dGsSZzE1juaqaBqJURd5cuSJ95hlwt5u8VQPS95tQd5dQIwfBF5H
e60zBPPOnA+0YZW3i2mTXBmSfMy8F+VgOnbkeNEP5T0c9wquxhFxfroxtTiF9MHyPaqc6phBIEkI
Gt2YUNoYF0t17fsh/FO/KoJuUWMj0GLh3Fr0NUPInmZu+TE98ZSXGWF4DcHCWIZwB0o0ABXEsFVf
s80aKpHu0H811xFaeIgsEtlS0o6rWRkN+0RQKwC+zXzLIHoK6BCRjZCYHkyGO7BWRLUZTmW2N3IW
Pg0s/P0/pf230p6G6PfH5n4oCDL+2v91uGHwdd8PTkr4RZcI6YHOlFqc0/HP6t5i7gE4iZmy+Nfc
498Hp7WMNnRP6KRSGCaX4b8OTgLPidY0aRj4rt/Ujn/j4Pz5Ul1OXtoL9jD0CzA/4TX9fGz2A2G0
bmXLq0E/UiWl6qbq/ktp8A3X+YM7DeeLTodi+Rz1jHH4fX9+EQO1MNyUrr4SEqglkGW7A2MXC7PE
Wqi3DaNNGLPZ9VwljneK49h9YvhpZteebqt1rBeTeTQJselIhGni6TwJ88ARSTAnTC2GWYAayq9C
W9vklXZQnb/Xmuq21yH6qZi5QePeTEm3DxU87LiYthCCjY1tNUetlpeal73miqg0crCHuj6QB/yE
Y4IPVRJfRn0XeGZ+cGNWK8bUfqBY2NV5IqEwWO4uaaxhrQHUW/W23Dcjm2MMy/cu+yLRrfn1niJH
P+hYPVfCqI/NVL6zy4mR11tYLYr3kOA1HDl1vwIMgD+Q+6POB0zK7pJetEispcnc2dVfl6w+KkTS
Iq3ybjQiyMPmfTsxuDST/jErVLeOlXzrHOuorLbcNml9UcaT3PgNDQ5jHnsdVu0trSrOAqvqA8AO
F0WE+afvxHUu/Yjx/fCkpWI7S3ein+G288z+I3UbNFVUowxDqquyss5cSVZoTfTEKs+adO/oBKSj
CIrWUzqUQVKbdCyjl6HMnB+NokITiRyyGrQbW2qYFkzQ3QVJSL6XfdGIHV2Zsj74Rp+e8l4aa4wl
RwDn9Uo3GmsFBes86t9EWm39AcVHIc21NTX0U3n5GM5kzIcNeZ1VZBxbb2g3/ejuZtd+q5Ol/lft
2eBab15XxAQUJh9ewVI8srx50/T+Ha6hDyshArRJ3skIkjQG6T4m4AjVhLeuouJqNLtXI01BesD0
WsFfPdCXoPMb+23iLZYjAVbR6noZWJru06AOV0jl70FjEMid94dYxO2iSL2Npr7ZVG40rMsQQ4SF
f35kuD8vg2ffS29NseSnxAgd/PEx09nDJ8r5SFP/2TawyscSEKSYMsIMCFC8KIu8XUdpQn9m6/dc
CLelZdfHOBOE7rowKqpY8rBOz2Oa8/TIhjALyd/DdecvmRMCBWU1Mablu2VIZzu2+n0W5agPiFmY
NC/BLNGjStM+es37Qp47KvksXrvCQGs8fdKd3dmpzKAXXDr1J05SWm0T0jwhRJ19o7mzI0lr42Q8
5YDA7jMKw4M9k17nCHnXNCbj9fqdveQhyWpgLlX91eibZd6WQGQnPXGbSYhdbZI+WlZPmHaY03c9
MDOYdipW6XlBD5Vo2k07pP6yRCF0kagryF8jESmA0apN69fVustJZESotY5EDapTXFidXbBm0lgx
deuaz+YSyHHqKvcp9uz3RIfyxrHWoHU1tkVer8cYt7JnvSz4FDgApJ0MX6LBooCYxU1bGgEZITeV
IQ6UVjdEm28cLXog7/RL59notfUzX7LXdb0rVcQXc9dvZ2Sroa++IsGgd3ZJGevozUjsXmdkd7hd
C5wA7V5bjyfXrYK2AT9PAsUG7TOofx/xTeppKDC1S9W3D0XiZ0Fodu9dT2JpMz1q3bs98CSOjrsV
VuqSA1BK4OR+KNnPpYOC8a+Pyn1woZHsmqY112lEVIvt1X19yoR4KiqLGJC5ARZRRlDuUs6tVVZZ
NQQde6YuVExrvZyVkycYPjTdtu3lk5T5Q9doX7CGiWt9sOcrLrxm2+bNS2Mah7gVX6fQu2xmdfKJ
A1jC4lmmo+TbwM/31lpKilkxF/6dVXjqIiri2ySKXlMTXLvMiDptkX+wRwMdEZaoR60ekJjJuyjj
uySp0o0vtOMwdk/kCsyIB0kUDhcybM3PRxIbd8/azzgDBi13Nh3b+kut97Q7J0WIqSj4l2hmxDGw
2B5DvxugrrvFnk+zt2nyfmM547gfjV7u0JtVa8F0C569HjNrBsQW9ehwEdbZpO76xp413RVZQjdM
vhfJyS4dl92bFr5B+krxRBl3bBGfWmO6jezWOUBtfqqWiEsrmsPTD7XI1bfr9ceISpYmPywtKB0Y
6EJgXG5cOjOir36+dIm7rZE1NMNV5UGWNy5T787hp7ZZhKb/jSb6cxWxvBYNIb2/ATTcxVKxLFB+
UEt0XTX1puzklUdWbfbQqG2sPfzfv85/e4nl3394CZk3eS6HXF7VfDAVTtZ4fLbq2/+PF2HGqbvU
Vig/fnmRLs6yKS2lvBLtXVOdT9pJGw//90v89W3hT/XDSyx97A+/R48uM6L5k1eWd1s025l2jSqk
dF9S9V9eael4f666fn6l5Sf54ZXyeLTJzOWXaRQ8yRIBunkcCuRQwViQ0TB/m+//dpfwcwP+7RmA
CW8TySaEj0/n55fro3Sa296QLHefDLYkrnMXxWeqePr8+/0jqFoag9/3GodS/QfL+vI13/sMw4Y3
R4uBHdz7xR/FEhXU/7JIYMPKEoGP5/ctAptXBw0KA2dWnD5qjz/7DLFk4FCxexBUsa3/bVHJz0AU
mw+Uz7aCn4F4HLap4pfHUcR5DeLQ7U9F5oDnqvJkM1UF1di1MscZSWrix+HsQKEZ9Rir3ZjJwDZ6
k/2AMFVJDoxKRH7WeEmjLrE828g4PYCjpKYYk9MMXFB5LHYQ9XFirSwrTzp072EKi0gL/ap8nltn
sK7cYfDbcuPq9WidTbYtu2ltaE3avUCMahmm93iCO6SqUGn8jlI2bndpV/tMqPX4wNAHrqKU1n1T
1dh38S02A8CzlZWlFOeNHM+SxUuCqak8uXk23BhOJl/10raJVE7j6HW02mmbd3pxnjhZRTFYhadU
Y4iLyzjes9AGvuxJoa4N1wwPyKflRVYSEWNgqty0GHjIImdKM5lm++Il6CnyHt0u6Cwbh66d9ndQ
UtD5xqX95s25vxvjXFJDk0eAIXSXa5a4YVCUB9PicMoHfbLQ3yMVsfse24yjq1OLAX+bkcCwtWoD
uWnX4TyngRGvvE39vgl11h9Gzf7ShyL3LJask/j/sXdmzW1b6Rb9RUhhxsErQYIzqdGS/IKSZBkz
Dubp198F5TrtpJN05T0vXWk7CkUSwPmGvdee54SoOb3T31KqrGNXNeF+QtfxzGLUIE5LR4VfcvTP
Iu+uHVktfKTFvmIQfq8Rgw3pheCJM1E/LmMTGV2mJUMmnAhNt5ZsGdfN6k0yu+JC3ra1yyvoOe70
SUYNp3fkvdkJJ2rzpSNkyW/cpIBxEOtnkCXLPClqUkw5bFy0JVSHklohuMdqboz4c9ymyiOi/f7Y
kOGD9n0GSK8IvwJo+30wo2wnyjw8jDI2+d0SRznHga2SENEQtCAnHEBt29mnahLFtgxxBZlY/Fej
BSpmNetucGACZn+hMXgCcaCfdEWUV379wFeI6j4ztcEcUNfqdZojoPpiSPZhjN5bYpynYC2nu2jJ
g+qbodpMcTduwn4O/AYOQ7j+98n6OcUxOYr++sl6374WfFevXfPfc5zlJ388XzGZLsNt1Kq6zZLj
d1ta9KrL3Jtq61cO9n+er+IXZpsYL0CJ6GxxFyndjwG488tSLcHoMohSdnT7HyFBeFj/7rhfkCCq
ADGyEK5YCZuLdfbn456odyOtx0xeu8lG/5DoJdxNzVQTWrU2z24cau3WyzPrYuFM6CKBrQEbZ63n
DBSAYORafqr0+iWb5CFrijsSUABc0vgbSXBGm3PGFpF6PIq2oYExCOPMKVKHJ+77j0+tmaRdhmhg
SyyCs6/ltEnRnK06Wta1bqKQyLig224Rhwn4UEZfaG86k+cRzmDmD2EvoP4y5I4PdFBtCGdDwS6o
9ti6VzluI5u+RwUYZPfl3omdfFs57sHOxGw+GExM4lWQD8QLuJ/Je/USwpcscXwdq0+dzehnSh95
fc5ncl/2meKHSlZZu42okx3P2J5s8jpUqw2hlrAWsmF862wUuQOzBqe0Oo9oqK3o3XpbxjZBAzJY
O0M13iYiG3yjkzwX1MrTm5a2N4o31YzpMHKNjQz6R10Nvij1vG8d5a6nLytgepgYNHqlPY2DdXUR
AK1ECRA60+/IJHktFQlPzlFIR+vOxK4U8C5KeJpYqhAh3fWdskfSsSmC6iLC8rsOkyBXhp0Wt4fB
zndhUJ1IZL7k+njpZP2mTs2dy6NMT+zH1O0xaTq7QAuvdtQ3qyor77MSg3wRs7NQt4PV3NWtWBvj
gPXSfMode6W6iDNFcwA2QrpUbuibxP1egGowM7JZh24zMDVn5AP8pDkHcXPjpu0LloK1QxtVKtqm
cKLLLPMroI2Va82XojF3zag/zYM8Y4NZmXlx4bv0ymTw3Si6JIG8NIZ7nA2iw9r2kFg4E2z1K9Qx
n6XNuTTat1AKsk/56kOH3rFGZsNOVtjjCTJOi6BHvXR48aYqudS2fltN7Kpn5dGKjD2BanzDnVyj
yd43GjnbAFrcoPpwTRSKRfbkJNEjz+u7NlL8oLROcIJYE+cXNQHabk9E2prjW88vgQVIYx2rESI6
H/DoeDV0kNDRfCUej8MY7WUD0VxM9Uft6HdQGO7qKQVmEPbWrWPV+CWH6GIH5nmydDJqM+RheZph
CmXmtjTfWO9W1lhdVds6DRqXVMd2I+sbhf5yKNdl436bwvGijgymcuPECOV2rFp7PZZMcrLMWRtV
9RXsCJefYcNuDLYIXidfMQIKouw8uGPkcyY/pEOwMRTDWaUmQ0+dYoFteYGcNjcXBE49Lu4s3MyR
dg5M886sY7xCJhG4ycg33ifuTVIq2wYfbInxYldGqeIpjZP41aid26TbsmDxLKjq0GC7DVcH35YO
psHtmpsqiCavMBtU8UQYR1NzzPL4agbpyaiUrWYgaLCrS6lDDaG4eS8ZE/jQztZLy7kmZ44Pq7Vv
rUzsJcSRNQkoxqog4h2l1tgyXug8qSKQI+YO5F9cnghZB33UKl6uy+fWMWHz6UQQKfl86TTjjI/r
m21UwAKFvgvKwiKxEW5IkfR3WCW/tAjsIITvhNJlfjYVZL7Fw5nox2nVmzwBcoUO1S0LBHBVgOo4
Liuf2ctJVpRRjK2v4Bwfe5t5ZhSND6Ftcb2jCisUgKUiRRPBRxNVlIEGUEi3zwvPjSOXobkynACt
Z8eIrCrv37P/1w0Ou4a/PvuPH/Wfrb35mR+n/kLx1mzsKbbDzfvZOv22vVF/IaJMox5QPysCjvYf
XRWt0+dKhf0xc5HPWuHHqW9+JosCsVjEEp/eln+wvXH4zX7q8Tn0XaY7EPdQiIH0Zsny+0Pf0coQ
odDcXpzGAb0EsgdIUATa2alMd+v04rUJwsGvSouYp2lOTOWQN6LD5ezEevLCPrkLrlEgu2qPNhv9
YdIlg7oBIdQ5NyWD6uGmGMpLaaTxA/ZFKCxE+DlwYObmVhCH9dWA7307FVO4LdWAXi1kmhVM5C7S
3unmHPntZ6VaoT3t9mag5BCBtM9EwBzuIgPNEdwMTkijs5uYRI1ijLVDng+zvA/nKVXYsQRLBUM4
1daF4LqOHSyXY88TrpZDslXSqdoMVaBt+xRRzTBW81ZN7frL3EedtkvdyZ43RtNN4XrS3XncZB1e
zHPpLP4daNQK1vFyts/d1EScBrq072PbrrnbCb/c2FghtvAN0/Y+NTK4V7ZZZtcR0a5O+cH/n8JG
Ps+D6SarEiZQgsA2ks4eToShbv69RX+9RZmy/fUtenpNP/67MNf4mR+36Kd8Ul1CegUayk8h5G+3
KPJJ1yQAhni/BbuHRvLHLeoChkEr4rCJN+DA/LRgNcQv9iJKcaD72QaOWPefuGkAzf7xHkWkbrv8
uYoWB6jjHwpzbDJcDFVhXdM+C49KmFfB/TimRbWz9TjdDiQIYMcF1lWxNYCElO3NmnWU1SnWLg3Y
oOWcTkTTqC4a7ozs97Ejwdt0OMwMfM7CYr04JHGNDKI4KG5inZ05qLixVN/OQ7QP8DzcWXxYiBgo
J4DKBAEMWM+Gr16MwxFNh68IRBs8Ebq7tm/2ej/aX7MRLnGTRO5mwFecqXI3s0YZ9PCu0jjbVHua
143OzqfI6107axcXYR2MmdvYENe5Enum0vdgSraKbJ6VUJTHIpDHKiJ/MDLjveYOz1kbekKJ7nPd
egxjMa5YVUeMUoySoUD4QlO+N0QJXzZ4AYfw2kUoMaeeUO+07QciB5FmxKYDspX9WV1jSXake6wM
FmlpreOZyS4VFmA81yEUdAI4ovbawnhr+aBhIEhiS4aBgPjykDup4+Wy3VmuIOB+xv6qo46ZyTJP
8RA7paGtDWc6zIHyLOroFmItaY5tsu9CSqTKaeaNSxUixYKqICPAS8gEYhDzkvJgZNwgPcuA4xxO
GTGAZfROWHntTaVmrQukkfAQD1noGttc6JeiNHUSV7IIOHpNZEtkIhf53oHa3tmp7W6Ib8VrS/gu
x9V3ZWyw6LrutVqcfXPMlqd3qgdRCzg5braDYXibhc3O7dGKmBgHkrZ0PCss0tWohtPXqaBmDc1v
DkOaTUIRR/k+v5h1eYDV83VU59uKRUlfay9DCb6hbhHN5yaolCGFLYZuPHemXdqMLrADreHwGKAI
UOMpmkXATRn6id69TxG+dwaCvtOn74Q98PdJvRDtYrt56xkpnxjDsQnNFzdOi3wgWw+LR4f3D7fm
07hDJjsmnh43Gqhw4UCwAfLKN6U7LAWpHsmHXj7xGeMQOiJiyfCl+i4M1YnwBrJ2ijKKdlOvXmdu
httJJA58YwGOjFkVlG39YBiJ4WHzXxkVPzPHpXJNQhKYnFGVG4OrDQZrZZAbpU2Yi4x43LMhtRBI
yfggxDhz1FrDBtxCi+RgQP3c9/4Ak0Go4RWMBgseXTsbXUUb57q3+OvCdZMll8qG8q1rT0wzp/ta
g8ZdaNSuegWqzNDGtRbU5UaQSrCqbSPF2Q5F3ISgOKJ7ZiLHPctQgOtGd5W1UxCyqA1dfwH/QgKi
BAWqTOcUkWvqstvtqhqURsbSU4+bt7pbCmvEZD2yssLuDOpLcVCw2Ry0MBNrScbBAh6ov+qUEisL
WtQGHDTRxjGL2iJyoFLkdekrZQbQqJ3V90rTn5M8D3wa6oHs5kFsixnHSZoSAC1ziHCNkqgc05VE
0rx8v4Gdr2YzOFZutM2G4RJzR3kD6auJW98Sw0z3r1i+FiLEncjPyIkxki5u9WSumey5whuXdtgQ
Hd8Qsm5IEj4grcnPi/w2smKGDAuiBqzPUYRduBpobWMrfQFmsO2U5n5OETxnGVTEiNjGQkvPTVdj
VOzyyAMEsg3Kcmd3zffQCBbbjezoYwk90NjJ6mcx5g95k2QnN+pvCj7RFdEa7iaXUENDIJpMYp8m
u/AHszx2gfgYpa6x6c4PbToww9NI94BK82+F8FkhLIKhv64QHjoJWb/4kyph+bkfVQL6VShorCZt
yoHFH/6TDEv9xUaYhXBZN9lSLAf4jypB/GJyenBy679qtyg7fhTyNAaIucDGkmGHdop54D8o5G2L
/9JPlTzrM0Z2qGsZ2hANxDn3B4+ZhgAzJ7Iyv0JEPLBoXR7XPJtID5+JZvV7nB6rJMjOFKCpb5EO
qjJqjgEwRIyCsEys3UG/LTSQXIZ2IHf4Ne3gijYLWqI9j7PGOMjczRF29RQykxc54UszZbd9EKQb
O88JHbDBiC54i4DNsTcDmyXGLkPFmUYNIqW2eJJGdOzYX54KI78REfeBS+TxanYUr3bTNyg5vhFo
N9Eor2VNdVK6yfOg8cyQhX0VVkVD3JH1kGpDfO1s+Q2sLpSXMWq9GYiRF/fku1qTOLWtszeC/MGY
xo/JnM9gUN+yoHkYpl6ukyzcSrs72sgRVrK3r5Z0DlmLpcuNrEeA++tZtl8HBLPNcujxUEXC64ob
062ZKkg2R+mFDFefmVTgddYQe4mTKSutVp5cHmgrSbiZaiUnwtqY35cIQJhV7IsFoJyjWPAj2819
BWnOCAfG6ruT2YFIK6tbIDR+ngLlc7SrY7l+Z4x3GI2BxKGRNfCGGBrPlUx57s3gCUK0b3cduNV+
sIjgyd/iqXssGXBC8O9SFhXJZer56KoUlwtceZB6dv6lMvdEA4kFy8aZYlQOXC9V+MHAboOp5eBN
XX+PQmbDP8c+52u2bqviS8evEVTz7KWxMhIWC2ErVvlshMZgZDpWPd9DkrBTT1Q4Z3ISGO4I/omF
PA5D8M2symRFV/RgSvtOwbTuKa19cnMZoOF1Ig56TN5xHd0pVrDnwWeeLAltbqySBxEUnIExZsX8
No/Sb/grvoQuEgQK8gGXd2rvykDDxYBQmQ3VGHqM0dGusDuJnYCw6Dj1y7hbzy6KjDndqma/S3Uj
2xTdOG30pvtgMl2i0ViQZU75jDJ342pldoosPu0qozwK5TxgsdCaldHgGVaom1ZE+sK+0tzyPE/1
YzWn0Ow64TEsB1sXKxoGCSHWeVd06JflUZXsl1jM+YCXn2PbOVmmdVf0Es967ELp0+YZQh8uwCLA
heNOBVemoX8ti+pe9HzxFjX3xMxT7YJvQa9QS/bWnVuKuw774ABzdaUFwd6hJFlZXPQrYQt/JIfF
qzXM2KSQo2XhQF0lVc2Uap5eQ2NuPKuhssn4RFetUhPXo6xpfOnyORO1ZX6Gmn8bz3q+IYmaObsW
ATztw/mVlvm17dnOj/1DmmnrbhQ3qa4D1AuZv6I1o6+IlS8swYpVmyGln1s/mnr7QATIQHkLA47A
XZyqCt7wIJ8OFFEbWZYmOAndQBJtfuhjc85U5TyqLZJAMRUbiupXZoo7QJO4Q+2FDuSg8gNF4aym
WnbUPMM9LDQJYRyKXKCHzOsMm9+nh8I7dFyB/Pl3PQNSN1kZLYCJfl1kyl0FMafJuSRMO48P0nEe
y7q6NMgfqKzMj7JUrw6coCYZ7RWYaJP0aNhHtoZ5Vp3rU6Cp27Ew+bb5xI9VwZumNeshbBQvZp5J
Xyo8g+lOqD975IrEde8CFo470rVeKzuWW5dHo5nGfmV0WLki8zy30bXJjJxNpirWbK3vhyTHWWbK
m6pRt0ltPpQzz0rJ7jOsdMjmol6RafQahuUBuyoLEGK6hhgAEGqdR8WeNY/komqTUaJTiHJRYwZ6
wbDwUrfVXdSY4S7MFAR4WrfJecCtzLa7LwVYqjrl+zUUMjEXLMIAwwrOcf2WkHuCC9WTkXvlQbcN
qyhf6WbzMAXDl1Rvn+pKGGvW10+mS5akphOChL4AZ1qT9OtYELkzYWcG8VghiUcAVzfJfWEb27lk
ph6k9AvpCGeOCEsrA0ICyUlfGaVN9pv+pbdvh4ZW6nmIj2Zk3EKsW+Ew/JIo+WOMdsvWinZrF/Ki
lxKZXqY1gB3sD40H/UYb3Zs+RntZYZfaKdaEc9+e4w2KNLJaTROe6nBqyoxBu75zxozHbzxtUMnf
Q/U7RpKaMg67J6elg1ar9lC1l2Xz0lrdskRArDcZ7ECkG291nNSeVcdPjM22VIkEayg8/melPrvY
q/1+6sBktiOqLs0wyDIBGQ4jdTOU4YEuUkGxKCIKchm6FY5f8jFJqfqAdRqdh6JFHRvyxHaeEpkP
27qNWWK0Ffo4Yp9jL4JdtCLF096FgujOGCYcz69D0M7uVTNqeVVnhWxONk170tcuqPqFeO3MadrO
I3K+CPPyhsMj8d0q9HNLO7ML3PM0OtjkNJHUAXOiVea1UpvGl9gpeUL0ODWAOu6iyryYZkN2QKR+
GJP6EUzhG0dOQlszglVU1rlw1nqq8tb5HRtDk+t0zN6JTSpWVhhtdfaNpDkZPB5C+zka8x5TG0zX
oYo2ldbIla7Pvt0TggR95xguC6e3Vj1oZnBHxNdOUQb9EtdYIcuRCNguJ+o+Ux/5+DnFteyjHJND
r4eOX7J4qxt7mwhSQxGbFH4xqmTO1mpJXBNdFVqM56Ida2/M7i24s3ZmPeZudcM2qMVhku6Bgvl1
nN2wdwQHLkdfa8sHR5rvPFxvWncovCziEiAe6A4BO3lypcashjxQV2sunwlJzqztCrslmy7Jrw6x
hqSURd0GVea0qceW64HN5jqC3UX71mzyETNLaZuks0v9dW5g6dH1bJ0YoxKIsAtF7jNTjNPoZI4n
c2VD2DhmPvHC0eL3g36HUP7Inbtjl6wiQokey5nQWoIVz0xoHkQK8y5oj0Emn6xSex6ClDOicJ4a
fTzLEekz4grIXwpLJdcKv+QTzBKNXOE5PtRmfR7D0C/Rm6+xMtI+lZzRiv2IefQ8j5iEivgtM61D
laJ2b4zp1I+i20311G6K0T7nGn5+O+dBqERbOG72mrCbXSr106DOSHkNg8wddjv2bD8lQ57fGKhI
1iEyzJUy1Pq6j9j14uEqvcEkKsnKC4IoGoC+Yq53jamj6FWTNwdlhSfG7sYpG2Pr1r3cwhBoTnlV
Tx5A+mOWkOdL3u02BQK7dT8XwvrncpjlEItisAEHe9kdQ13YMx9gnZx9rpZh17Bm/rcd+3VgS4P0
1+3Y+fXbR/36JyNbfuqnZkwl8soiOtzC0rmY+X4b2aq/UD2hYUNGiCoIVcRvzZjzi7N4S6EjGQJS
yNIi/WjG7F8whrJs4Qfgc8Dq+CfNmGkvzdZ/pJOLlgINHbINQ2cMDBfhDyJNRdWmRm/ZjwcU+84C
vGwbi9sVBqbRZk8lTMxybN31DCXTWXCZRR4SjtbtVDia5gLUHFyL7Kmh8TBxHUcJRXR2EywZPaZD
eJxLItaqXRCdAlYn8SDsKmPX3RBO/K5R7BDG1V3aDtyX1r/YED81yJ/WggCNw+ir7ZIejmziC2Fp
6q6AFxrmQ+A5gdWv+bWl30EVpY7FlabpLzCai3W1oEdBIGJjU2zTB1T+vR+aD9Y3QP8YtG6ETEqP
HMt7mUa3IF1fZ+imyoJvchfgqbTIzExhoFq0eesO6CDtHVkujSPfBMTUCHJqjggQywpvsVuwqk2p
3ShwVunYzhLuarIAWJPagoEU6zfEK9+ohUGdHwMUGBZwa7YgXNmwYFdvhncIoojbNA7mNBI42yLc
6mzHH3posIA8AXiqbcVbypwThpL7BnYsluzbphhqP8nYQyvwZSM4s1E7HrHdq54z0MmasGhDjXIy
lBTK9tJHyc6CKBk3Yg2SfX4EXl7sXGgBeBGchHktuFv2b5ym6fgN1+V0CPtIg26pMsRbQLnGIBTy
sY2TvTB0TVEyQwqC22kB7EZYTfwpVJdiKEcuvoB4iwXJK21lKxcrQuz4Mqm+Tqyhtk1I1ZiVEfGf
oQMiEsYvYCJ2cxB4wf4GwIOreeM4IIFJHnxv3QgGsYNVEF1fvskWhPAISziDKWyHdXnGXwFxcgEO
I0j0kwVBrMIijgOt3fQLnljXq+XcjdYOM/91skCMRedYF3UBG9f6lHthN793tWoANe3cVbeAkJMF
idwFi0E9AZM8T+LMVBhk+Wh/1CWBFChULsXQYu1vuZRJzRzXYR+D7Q1J/tUU+76AytwveOaYAJdV
I5xs1zYjLo9wuFcWnDOCgHf28sVqyIPF31kw7F3wzxUc6EBlyl6ZmbmDbvXiJvobeZKY74FHL32H
kisLn09g44AwPUfVG3kwE1++U5H50rj2Lb1Iax7AsWhwPLl4481YT/AFBjjb0dMYcs/rqZBe1nU0
woTIT0Zr3DhD/jIUZQPhNMap27QdgW7TlzFc0PsBE8QxVlBuAl+Vsp0Ah0pQUt2wHTJjQwhvQeIj
OxotCu0jB3m1qsAL0soUD7MMrrDaT93oNutOFt/jtsISFO0LXRx7Ae28TY7zTG1FNGmkRGc1Yekg
J7yiAP2wutbmHTC/HgJ6BQBo1I7CAClP3OYez5G+Id34ZXDDXTOYR3y33+3W8ZsUx5jkfJVLAyfp
5PQlRq9amrtqbAcMSEvDR+cnxnAkOCBx2vapCBkV+GNUmjNGrVreI/xpvhAWOpD9qoMJtVWGLjsj
FtbXMJXWoaUUD28ItQnFvq0U82sQ2npwTiz2XjlzlTUQpSeN7NeNNepcGkGYbQKul50pgZgOCVPd
getuY5XEqnIVvnRmt5tTvMUsWXZUVgFlMtPWIQ5hgcvgVswzQfIdE6WcUoFd201mhwQZajzhcmRb
+K8znUF28j2sndvaZqsFncmf2H3vcAFmnlM6d6Tofsun/ktlQVXlLt6KgH2y2wFnVOcb14yPXTpZ
Hp3lqzbyHJcFGQMEL2hUqF7bBs2uyhRmHk1wnVJV96YWt6OCPp6aeNDSfbGQdRujeHVkD05KB1rh
gN+N0+RNB8crk/FtpEUtKkhQM8Be9DbchwvD1wHmq44nRg/rPN0JNiXFvCXPcqv04houHOAeILAN
GBhfAZGlBqYikMGI8TRKTFSlWQ9P2MlptRfCcLSwhuuFOlwY8Ifht+erRI/ZtrORn4AUG72qefmA
nVinDI4Ty11ntXMKEBDKhXGMEpo8b1ZEVaRfzIiG0wqhf9c1Dj0QyYgBbyTIZAVYLZMmSj/RvycD
VOVhzI7DwlnuRypWnIJWJVbAXK/TQmTWQTOXC6O5S0o/dtV92QhI9FCcQT2Hnq1IbUVrwBwyNjxi
mshqydaoI+4dNwXyARLaRqbnDwsl2hDtMVm40ez4bP7F0a9BSgP3BLUSR6yLwE1jXOX5zHIx7aHz
K/E9PMLXCji1XvFn0O56uNWpwVet0lnVHUhrB7Z1roUfievuLNg3UuFvAyjYtEXfSqjYuR5t/60n
P+tJnfLrb+rJjwKWbPxn8TDLD/4oKVEBoIQBBaebjPg/i8PfSkoTiNLibYb2CDtkwcv9/3z/00u9
ZPm5MBx0g7n7f0pKPBNkSKr/777+B7N9cFq/KyeX2b5l6A4lpYDjhD+K3cPP0lyHPbcA86BcabcY
LMUUD+b8EQwEp6cWVLHOUH2LgVQ9hXkGer2s71y2Abe60yt00o4snLuQYwmJIpuwdddo9ROnkDO9
WwrDYJtcLfpqVmoJ/MlVowsmOs3APwGJ2kL6XLBvrONGovg2fam4fs2urihT9T2sWN9V+lj6clnp
DSgtmREyd24l/66xrP66VK+/lp/rwGUxOGMrOgyFc0gSDMoD20NooGS5sk/sdEJcRl1d9cuqEQwP
y4MFscMWclrWkbljbSLX7C9iWVXmdRJuQPkakMrZnaOjw++cEq+KQWplTFgbBcSMlb6sQGfyqiGv
NTdJw2yVZKbspV9Wppr2FJukwDRKeomrMFqzqblN5pYgK/atk5pgr2bZgATvvYkBnQvOOLMl3EMs
61pnWdzitY4Pxecyd1nrci6qm+Zz10vw4bASywK4L4W+4mtRrtiekWOyJyatxPBagN3VskJOezne
zstaGVlrejuyaZbLytldls/IlvmhdJ5jn+0EIgjPIHqOgTsb63rZXc+fa+xxZAhJKcRyO4miGflB
UQb3ZP2U2/6TacmFXeyLuu+3ecPaObAVcY5N/Cur1g3OKdZGUZy1qgtutS56ySLMr1Fhv4Y1odFD
w7EHA+Al1dqQNLbyu+qCAW2V8JQFzP5EMl0zyijEl/n3aLbWpPW214ldv5c7CEDNWqQoXVMS4Xt7
X/eVc9AZMnh9Mt3DMOZryvOtGfE/bs05PlodgWjToheLu3LgF2j1LoB1xxjDPPdWqRwmw0FsAM3j
xvqkAdTUH6ABRstAQo33o0yy9lRXLs0EF9oVpAXjmsqqjrYp5VqRkuqZDOFEzN0Wb9HXhcnUqvCl
JkQRh2EEMA/FUPMtMxCkHbGzyd1vutKAqM1vZdc9BopxbkqHuGldKS/EA017fRF+sS9gsAjbKodD
9aCSU7gR4qNVxmOckcttOqcpku4GgfC2YgdhUyPwntE1Fycrz7/OvXK0tPiUR5wwcWcF50JQNOZ2
afhdFLKdGUMgBtm+TlhlVHxJiLoP5RAjN02cYEXl+Rp2A3egHV/HXjLBLNx6pbR9zhiVpAY727ut
BTG9fs1rMCKE1rPj/m47MY+W3K+R52F89dQeBFSoAzNDIxsRcebgdyIHyhs0yLVRSzwzh/CjyNQr
6vxHTOHwpFNX2vS8CFwDMX8vK+3Omrv9IuE28nxjt8B3iekk2yX1oOi8Rkx87brfNAyuwUuKmyYt
7oTUv7kp93CeGR+tO92ZCqR8UIznqSKFMUXizXdMrjjKFa1lHN17PfEUZMjn74BMHobletTSZF93
0c0sx2sOTAAJzz4Y5c7JpceDNPUyS70lMgVS/OTp87Qvgm6tMEaPZmXLAm3nkGWdl+AJmtFXrCWi
Xo/fbbEkYJU7BTFJGjmbqZTXolTFplDlFqsZW7AuvNFbtA19uBsZ3udSOdFw+lMWUxDoqykdvYpb
RDd1L6i1NQw+L2izjzr7kEF3B/WfK1JlUIqFfyBViZajmfE/mbwGLDMzAIhvivumtX2zt6iWxjtz
dB+yBNAkOQCoCAZ1m5u15wYuV2BAxIej+sLNv0/EAfOE8+nIvYYMHFugugmbaG9ocIDm+lnVWvIs
xL1tl88iau5CUhO7/FsxlR+VivEXjM7KMZatYOk3AUEqobmJcFOHRnRr1NFZ9sadHjBpUAiCqlV0
2uTOqOpOcfudaBRfjbL7BFB+a2mPNb+pg1d6ZVvlJlCwTqmdz614aVzha0ZzMIKJF6w2ZGmN3lg0
a1mxejBN/Z1ksmf+U4wgAsh7jVmCc44qUJgsL4vhtSkaCHHKMWvlflacjZwImOrrFEMxh0RUBhU5
CBOkN9vZ6i3M/6742qIIm0pnz/QIMhDKLNnWu0JYe0TxEoa6u8U89zzU6pOskzupsF4yR4I2Oj47
dxMW7c5pLa5OZ0us9y3S1WM5I6RSuvssdnZiDK7BAqw280MfaOdIYhUoOhzrGbE0wVKcshUbxG1C
6qqhjS+lna2ZQ3ce7PvHoLZvm7q5Fo11h75JXWG2u+/Ao/UlLWE9szO0slNmQVkVlYrXJDzXy4Nq
ls9T2h712iKzBtQE6MDEgCo6LEVPQclcPNbldNB0eVR0QhqI7QhI/Yyz+6YxR2/W20PN0GEeBo9U
Dg6e5Bud52PS5lS1sAxWrtO+mBYaHzNdJxKdW6x9s3NgdG31nNbRHsv3lecthKU6he7YHK055r4k
h8WbVe0lsprSd430Ia9bPJBjuk0N7SZJMWSk0D0KORiYIDGZpDYrRSXfxLMkb4FOJxxgW0/6gtEG
JF7c0EBvk2A8jMX0rVTKjUJQRoupE38gS20UDKukdzZdF27qSCk82nxK8g4jE4cEEsVdr4hvfW/5
uAi3+Et9MA4bIHs8f1j5Qema/TEvjlMbHuvWemCOBX6qBZTdkIgcp1gbBuVABivXOj0EU+hak/tM
ac+zMrw0dfneiXoTJo3rBdkIO5ZmLVc5/n4qaW/+26z/3+oPCy+iTno0Bl3X/WNqeTvUdd3FhXJV
c4Yq6UqysqU5+fsXWRy2/5lq/lqGInOBIWgg5iJM9fdlKPNATCSmplxH8VYzmOheRom6aZ2jI/v7
V/qzgvfnV/qD11cGctLmgFfSwfmY06p0wPDMe8mSr/saS9v7+5f700+Pu8kCUappzOJ+/8Z05iyC
tUd40ytf2+5YkSydvf/9S/zZO6JapljmZQzzjxPhwEYJ6JIpewNzJhm23TRtMsJC8pAVO7lM7f+A
N/zJOzK1BciE0xBpoP2HjmGZzemT2sY3cRGuYgMCGAL79H+8p4XK8Ifr4Xcvsvz9T4CAJlBayw54
kaRGQ1CfEjf61VL6l0yA//U2lr//6RX6dm77Gi3mDbNI3EpeKh8C5pp//9X83vj4eVn/7m384dsv
0ykt+/9j7zy240ayLfovPUetABBwgzdJn0wmk95ogkVSJLz3+Pq3Q9VVTbHU0qoe17CMhEQmEBH3
3nP2yZroctRg6Fu4ZS7xMrDAPZFObDcno2t+ccUf3RY9ceSlFrIwkIjf31YSuVmUx3p06VRXlQiY
Ue8d//3nd/Wja2C3tqVt8hwQHP/9NXzL1Gy3r+PLvAmxPyHvLJZDevfzi/zoqzMd+MFQzUlb8T5d
pBhCx4kiwDx1+ZTb+DmpPVgMPCKLu4OkSTn4Vz+/onqmPj9zH6/46ccKPQ6zpT7R+x812vwPaPN/
sRgoK8CHSyikmaU7Em8NQjqb9/XT4tMUEqrhqGeX8TlI4T2b5xH99dq6Cq+tJXKUDcSZzc/v6vtL
/v4IfryrT5dkqpONgPriy95u0Oug6fVYFIrdz6/y4+8Ou7BQQJffJYQf3iZkILbTZiK+9CvEMbR5
3fYX35369j//OszkeNo8UKvwY79/6MrGiJh8afGlQ+k7uQanzS+RJI8rjn9xLz/6xj5e6dMCR0Vc
1Lpjx5e69Ra6V5Z/U82/WN5+fAks17rn8CY5nx61SE96VxJkf5nnJ4swnZF4aKOzf7HV/egV4mH7
8yqffvqk7sN2CrhKlLyiwYGJv67lxkq6ZdJeask2tX7xG/3ltgwhHQe1KG40rN7yk+ULogCKDadI
L9t+W9VfBhun8fXffNA+XUKNRz88aDlwMtMOq/SSJNKFriFei61ffG1/eZa/XULNcQUHHvps318i
HkdsklRal036qs175Iq/uMBfHmUugJIFl51F482w1Ib+4R5YOp1Bz+fsknNe1jGMjfcR6TC59/bt
u/qHR2MYHx6a1XP7/O80r4vn7O3//nV8q1/fvv51yq/+1J8tWUiVmCPJwoYGpPgIH6b8+m+gCiDP
0A9l1frQkjX/qqv+OOWHMk3El2kCk8TZ9Xem/EgDeAT+s9p9m/I7NidGF1GBAdfh0zNoasja2ipJ
TrqQbX1GCHEpUCFnUmNylzjKdVwjVOyquLrSHYQxRkZAULYb93vhx9tcjXdVC4o8RLo65aIkIRHk
Q30QYBjCR19NfOwWr83EwXVJZBLjIGJnLRC9u9Kw0mXE0IgM6NOoIVQDEfHs8yAjOksOJYOm3EZ3
4zB6Iql1CzZsRn463jOW/2ozpCrNgr8A+MouGC34Bm6xk413BYbpvS9qAx1gRg9Jzb3KoU3ufEZh
sF9IGBZTu0xG/eQyLhsyqC22mqAFapY21u6utzGFZMmw823jSaq521BM3Rp8Qrosiqpfc5iId6WZ
pWuvdlxSZX1Ga1X42CVVu8ot4pYDZb2eS6FvzDCHAKGZyE8Huw13oNUpgasS6v7CwJ2CSU1Ld2Eo
ynUiY2vb6Hp6wCsXXDutMz7YPXbWwgFV1YyRdYqQfywDPdIvponG6yiNSxKQSEJpUK3bldNuQQY2
m7DIdHoGGZc2YhekW9XucpzlcP7rHv+YTsMUmGJzFut1fuV3rXlwy5rKL/OmJuAz5FV0Jh3N1vde
Qmd5Y6CohJqX6C96ZcpVB8PCqeL4GPYdeAsXsQZ0+hDnjsK4bYSVXUkcLMMSkTGWtjp5QxnyUMHL
KASSAUSu25SJ4BKHMIEy2rFRkI0Q2oaFbnEM87MSCoehJefxEBWLCj6HqUAdBB+/SgZvqN8u8mxk
xhm2ToKOYoqMtWn2Jm4sK4znIyDufCGgJyVlzPxL9j5d7XDfZWSqAnDMAXAY7jqbg9d5ZNn1RVFQ
bNMhLZT+3fJygt9r65XOc72wJKI6aNjNygzHdae3Kyeb7oKxHUm6yy36ZH0MfZXWPZ7Ci9YeSPMV
FkPVIIsYlgUMxfk/sXstQlotDgXUkvRMlDQWGWEoslAHhlG/EqO4cCyMx0mNAmEqk+ZMiPZgR2O/
pAtrrKO00RYiM77Yo45UZipuBmekiTEN1OV546CT59jK3HnBBMhDleK8ZX7wNS0QUfN2LQEgQCrg
YNNZZDxMPc1wQchC10zZutCV3bcYvI3Loy90CaBQ1C02SavlKKd9E5BHsVMkZ3nTFrf/7B+/T/XY
8n8y1St+ONDjz/yxe+C8p0fBgmcZdFEZzv1n98DLY0MkE/SnAMhz+PpzoId311FJUjh52PVNTkr/
Gegp1BnnAA+JGJYdDMN/Z/fAQPyX3QOVGDRjSMyMh3E9fH/AaGbOsJ3V2ReBmc/nkKxESfvWRUG7
0kYgTfNi9jsG/Rpu8ZTcct8pmEhlqBnIbPrWgRfp0e0iAUODd9p2CDuGui7pp4IYpS/ZqrRlcx6s
lDUYgkbwQHq9Vq5mEUACXiRkPJX7RtZKz4k9aLzqYod5f6gVwQayCE6gMX8wBH12Bp+7Nkca2TQ9
wfa98n5E+N66QGs2fidu49w41rmdrossBl4vromXQKuiwyku/BL1VHbIK/9cH8b7qUFcOzp4P8qS
FONyn2YB7deAVyeyY+TFDqyxdHSQkLi02jp/xrM4knnneJe6YMVMsVVqXQOZFhcjXBmnXA2Ze1bT
/jPUuhJ1/WPLGGiBD/GQRcKiCT9dNkU+bQa7t5c2QU0kklft0nTmcZW0tFsFRtb1ZNE1BJG0FlY3
reJOR4Xn9l81OR6QYzDuZ6BHaLX+dRyBw3YENsWi2kUWDXUQzuexS3wentP7zkL2FFfoyDtO8X3E
YgF240bDslM5nUFSuQ/jA02gD45tT7FJWrssLmKjuIY3v+R4fohIowkhSS56ZEi6A7mrS1/kVGIj
DftVazIiTZNVGpJm16MXl+jGayUgJ6icjVGJyuu0SDauEpprJjheJT1PlAgd7dJWD4KHLoeAliih
uqkk65odXBL6GS2k1y51hO0KeIRcpX4IlOZ9TqzDhAi+DcY1rLQeaAtshDy+DvL+PLLIQlf6eVsp
6X2lqS+Vur5GzbwUCO5Z0J21W5lvhdLi60qVbyHPt5ROP0Swn5vJHfXqfYZIuyirkxaWdPWV5F9+
E//jAojT7J4o+ZXi+XfCfBLKJ0AW9rYf0psxsfZIiwggU6Of8Ju7QPkMZuU4KEvGLKZyIYTD8JA7
OExiDAojRgUdw4Js2HsJUNjmWBnixoL2wuTRalHQMHBADDiA5E5KYsz1VaEcESbWCD8mG6hQbgmS
ivaB8k9UGCk6DBUMrr6AhouW+AZihN24LmC46liDurteOTJ05c0oMGloWnEmHO85/+beUD4OA0MH
7aJNpAweGD00s7gcYMNQeZo3UnlB3FCgMwMrGmATQXmvLQFrbMYoZYzt5FvM4M9ZMI87bOPENOM2
0UJ8J7lyoHDgKjYtppRYuVNARBW8ZbN78ASRlBBNt4Fys8AU3GTK3+Irp4vr8YFtzC9pM510zDC1
csUU2GNKbDKMZMIzwotgqevjWxJ517Hy1Nhm6dPnx2fTzNP70GfAopUHxw8MuaQx4SLMxqGDxrCg
Jd7d2H7Co8OxHWOfhpiyjNBiT4W1JO9zlwTjsx1iAmrtPF+PtnfsrOoI2estYZi4wldF2KTSolmI
0mbEaTUitaDAJzQXT/k39RoyNkfp2UqEbUIp3NxRQ+ba2UzODLkPSKNYACHD9GTERx2JHCC97YRk
zvEMZjL+IUvjfYikzg+r91Zp7FCInk+I7mytvC2VCs+cOEAKpczzlEavVmo9IiLWjtLvxQj5cqXo
c5S2LyWFx1Jqv0Hp/qJ+uPeUErArCLTolToQC/rTqPSCI8LBRCkIiXcoCIAyEHUiLzSGt0GpDcE3
ROt8kofQzp7GiW9U9xg4Da2xJsn8/pt12WzIoJI0SAJkeVOCSAka1l40xSs5heCbxHuv8zCUuX1b
1vxgg9SBvactzJIgrzZV5lz26IYxMBNfHgwabuf+guHtNbeK1iM8zVjFmZBX7jLoNWMxo6V12NxX
oSv2YC2ZKPvuuJeDdWOU/mPoePO2TqO3bGDk5cuBgFE6BAp6fGfmxbykST4zVa4VOPOfU9LvpyTa
Oz89JbVv9dv0gzqbP/fHSQkyIconmlw07dRB6cNJiaRhgCM0WWzbhrmtJPN/WJvt3zwM0cxE2f0/
5Gh/w766Hk1hiY+Evpb1d45JwFQ+H5PQzZnkaLvU7ILq91N/LCshnE7K3pKZc78BEoRHSzhPDrVB
4XQPSP3ukvnKn4hvrfS1UblXXRvc+emMmcfEaloyn6zy6Wifx4H2ag7JXaYxOcYGFW+nOn+xWyRL
QE32ZRbvRAAnlq0FNVUNoKOn/jGE/kXL+/JFb3N8uH46rFnmfPTkMbJRCBN+UJ/lKvg9VgnwDLhz
EuFnhuBpSUT8EFXPE5nxXmg+17b+OKowebsdj+j8iJdXQfMlifNdh7LIUiH0k3C/RCqWPgcEstYH
SB2CzHow5l+ECrGXpNn7KtbedufdTM59T969RxDDZDs3sAUTUnwqr6D0ioe7Loye3EjbDaJ4aGot
OHOMcuU1cpnlPURYsaHdcTFO0YXsZhbdWrkIwq8FrnBOj0iM7eHCiwbcqJGxl8UGedginFBQGDdB
dawRirTJU2WELH5lvG2aWXUM+lUqGe+3FlkxSWwwwpb+orCahtaAly/9wWRcq53bWTHsihZbkR8p
+l+M0MQ+R1A7byTuABXzu6tIT6kZsK5ao6ECrMW2xgxFgG93Obkerj62J+H3+TbMkYpEqKnSnOul
KBxgSNIRAVw4T9GqEcwmiG0oGA2Ptu8pjfo5Q+wTBPaLrJQrOyZuB0X0+RDguZPOyrFmPBsS4Ukq
EHkTqlotAsQkS3vo4TAkEvat0zTkcrYZsAeCO6bIQ6WUoe9tnWcESnuk+u2ma9B5kJGn5HVXg2M3
S0dnqFSZgEziainJNM11zswhv5xWmncWUtmKfIY17Wj3vNL0feoWxzImjCEb78OmeSkraK76MPmr
2bbZLgFu4VrjYJLE7b6fWkIMquShiyiZZxpXyyjMrvxGmsukH3ekyhebmoJjMU/2AJh/bxoRqS0O
+h/y6vConWQdbhKcv5aeooDhPFX2iNem1LyJ5/xLqkeHVh+OxUxlgk7uDB37uYAxZGTdvEhFuXd7
9yUG3uuFAV4MA9ihi/O+iW7KTrtjdLsXeXHW1fKtsO19At5EE/mXvEnv7KTiS52Hc2nWB4XD7Pqk
hcE/XpF7ux39CKe8jV552JVesddVk3yShNSHZ4FE/lNP5qFMh8PQiEsRSoK655ozR/s4OJxZGjlz
rGpPZYfrdJqds9ozrq2oPCRRv5PJ1HGHWbePe+MkRX0MSgdhT4/oD2AMMsKbpmge2BIPZOYeu1Cu
wmC6zkUqFgkvfZKGGxrQD0HibK2g2GV25O5R5m/tflAokPZo5p4yLJo0doI9VeZVpvX+AlboMuzq
PQybRzEO5KSINF15RndN0vh5R3gXbATkK3ShH+ky7ZyOvXpqV/DOKM4Q65mp/WV2ve2g0d7xOKZF
/VNO0mBjife5CXC00tqZG/8xogimtJu1PLs2Is4icIJTY+MWFmvfaJpn2D/mdW2nBy/ozqWX7Me2
a8HweAfSdE6yTw9+MGEgL4Lj4GMVibz8pY9ad6HV6QXhJduq8C7qHEcGUSHk5gp9HVn6faR356Mu
H8xEI1cyvpnVT2i61ksJnKZoAsTrw0EPtIdR9CegFRciQVVuq+iKaXg2cC4vozJA6FVxAm/5LWrd
2uRdEG0rN/tSmuZx8ih/26jGKxhv4U0Oq8bW71FvnVUN0cQh7dJGu8Lyqy8NeUuECnbY+SVOnZuZ
7sx5blXlXgT+dZnlR00lhPoVTvDZ+qKX9haC9kKaABbi1pYgaUZjl1DSGkbwlnBCBHhaiMPkTOe6
zpFZ10trIyJz61RAXHgoyqUxIimzA7Frsu6xGaKbilJ/6oJbv252+IGp/Ab3Ph+iLfd8C97poa3C
fj/KyyRBViP6JcBV7MXZuLVkcRra4DYSc7Ny7X6npYhPZxfrtH01p/quDjy+Gv2kVXW+CBFv9Z1x
k9DBWgs6kiuXmPRFr8MsMu1jk7Lfr+mJGem6G6ro3sqilsXfdg5Gjs4yc9N+E1Y2CWgISSO35+2k
R4FieGHX3BIdux0Hxq0T5N6lm1kuYsc+X89aVC2MnmifoO9H/JjZS48jQ9oYUNlh0JO6gLBKQ/XU
gHnCy/JDjA5j2rLF9F5/Fqdjtqi06T2vG3TBeIWSKU+WZlzrC5p57tpK04e+CAwqdrtG9OXmGz1s
wNxmsZ0t6yyAcdqWp7zS28dYd6BI4BrVaHwP1lUzQKvCxkmzcUgl1jk69Trd7TldkTl9jhT5rC+j
S8NNNnKM144x34Nauw4qYoAqAxm1mS+NFFpQrleP/mDFSou0rnWSQvpk3HbwRgEJtS89vFA9cZ+k
bx77AV0sJNWs6zetbyHFaG4RxU0r1wmfWVnvhVnvEHKfhDW++bF5wHZCDxL8Lw8SCTSa+YjV/+BE
GVDc1OSEnOGHQ49VIibr2KLrCXGlXfunmEZHmhTXbUMmNC3vPfk059YY7fR6XgRJuc+8YWEVIllF
DjGxhJdceUN20xJ20xfTtMry/DZPcS1nWnKg6NwL+AvgK5cchbbGWO1b34OWCMLeqQ542kCQmIc0
JzjJZKc13U3ilq8Uxus4Ca5Gn5PChLZv9sN1TTVsVe1bFnrnWg5ZnYduJBGn89JXTJkEhUNyL0R0
XRsQE41o6Un6W2aGQWcUN00CgKXNNW05IUCcCNueYWT4EKQ9lQjbeeRmx/ou64xHxrXwLPRxYwFM
MxkPcLSoFlEOemVKk8fU7Oj+W4CcGG94CRPdLkj3Whnfk7G3Nd35UvRGiDhMv50GZg9x+VDQB6Ry
hhur9dFXvy56UqqAFbeheTFY4sIPTChnrb1mNLiWvrONvWjvRcLbBIF/6JP5rZysi7bUueMBPbJt
8LAExWDRWaLDRVS7vvYn2z0VenGWS/oJqWuTGCyuUqmdpy2BsVpgbpoGUbdvhfqiBvy/Cyf7yRpQ
TnusNOjgxvMRMzUx8cXDCE2z1OwnwwAQX0bVo0CSuBB2t0maPkW0xl27vr7z1NJTIbLtCy/cBXUK
q6BMjiVd/CTQ5pNm1AfiFqqVgQB2VdUZleJIMuJU5SvJP03JtNL76iaIxnJLfOGengFutLY7n2u1
a1vycdR50WJ6+Kt6RItaTfJCT6KLZEiWMpYhmWhzcw4VTqXJmg8GHq+zofavvCZ9QrMud+p1t4lv
RsfObs6c3Hxyw/YGvt0VfcTo3DNzkgfKfVCKWwP71lxYAtFsRyOjWIksOa8Cse0cCU/Lyt6Zb6Ws
5QbFrHubtMVZRIWf0A7s4XSvMes+Tnp17Y0Q1vLSuYj1ADZdvEkdOQE5jO+r1HuSo3mNhqw4WGac
YwKzycht5RPBQ3uS6LVlLCJ6MD1/sVbpmwKW9qrMAc7EKRikBr8EZlCZCfNm1GODMqKu6da66SQN
WnGmra0NPfLn+O/N+6H3ebZnG8BndQubivhUQBmREKNh5NEpLhlf58cGLpEnbz6UlZe/Dz0/hgV9
PwolCP7bRWwdKzQ6RErJ75vZiT/WJpFJ0UlMey0/CsI/NXnbDrc/vwyV6IeJ678v4zBqlcJSDS/1
MT4M5X0hPKoAwcHdeB+KO838hYzyB38/nX8dDL7SR1ifv6sG2msBXCY95QMP2s71n//253cQFfAN
8UUpd9D3nz9wVIPWqqCYU3dYl9a/84f/q17uk8rw95/hw/fz6beWdqLTvuf7wXunZctE39TOStJv
fwPw9fNb+cGlHMpuJZKwUBN5n36K1KVfCGU3OYl4h6a1FYuSRqoE4rDEP/vza6mP/Z9B+7ef/buf
RUlaPvzsQo+y3rHT9FSaS/pvFnVXu2JNnfrNzy/0o5v6+Pt/uqnciT2koL9fiK54DoQq3LCPqK24
/MWzpj7055vylJbWZXcEVaCEQR9uyrRyo2DjzU+NufHT535cW/7rz2/nR4/zh0t8ftzmxuKsxDT3
lLvPsf8ktf/hcfaQEDkSnqmOTuP7W4ir1GqlZuSnmBWQBm46/Q+LFxMyYSvFBrgmpQ75+CVBU+J8
b+vFaXaeB+eiUxOf9hdr149+dB5ixuVSESU+k/PwwJf55M7A8zn4TUs1cbGuekBejMrMXzzJP7iW
CywYQabCgdN/+v5+Qp9sIwi7+SlUNfU6UoaptVPRU98a199+/H+ERRZNyP/e8rwlg5QK9q8dT/XH
/ux4Gr+h7WQUzzpvePZ3YeTmbzZkkd9zWHhn/3B6klGudEaOznOo4KC8a3/AQ0g2R1AHPQSHqKsM
n3+r4yn4XB8WBmRFjKU9RisG/VWAZ5Z6qz8sDNToxFFVTXaZ66Uk4eeb821Sg16LSYPyxI1j37s0
oMrXqscxVjCwQONzw9ANqoXzMtF2WJddgDswA90egWFTVu9OOheiZapJoEHK000lSxxnj4loIv6x
tDvsMcGFpvkJpDKgiiRonJqp/arZiZJ1DF+hnRfrkOldx5GMUXV0GCUJLTzQRw1hSS0KUivhu1+E
LTSB1ue/OVP9VSswldZdrRoG5NUl01YY7os2wkIcWjxFY7BziPXK56QC9hoyH6mGJ5AYd2k7keuU
6Dem1T4GrmVssYq7W04g9ilAALrmZSamw0pqqHXBM/mkxZYlDyYD/FdaH6dCgh8JZ+NGMENdhF10
NRriLBPWm2wxp9fYhTDjS2NKljUFxugah9pr+b+9XSbqx86M9sWomk5J8Fg09qMXv5gDh0tpvjae
91obzameowerGF8T6WYrwwRKBIrsUuPDAlobdlkI1CFugcLNWgcbNolumsi86ErtYjYrXx0ZWQgM
4sQxsGf7WEdtaOmUrYOQl8pFeKiQPC0sLXSWhL0f4tAOtrHW2ZsqSIkU68TabcY7u9HOwEXXtDzb
M7dgdIs981RO0ltOCSjtuswNZloqfiYGhRR1IY2k1N0mTljTZsj6td37bECdIRjd8V+dyaChMNz7
rkNXqbu0RXcScAqWmuZV21rmiHoMl7oy2RtWAA26BVpMcBX9AVHvM82ql7WhUVVZpr8civ4AJodg
5pmI2BZ8nFZf2711OQRiH8QOXVUj3sq4uMtaufP0EYTebN+1jINFFtw3RfuGlp6M0xmhE4oJMIQg
fzduNz/CfitXgVGeMTV/0DqU+mkz3GkeBh3+aLqeU61am31yM2nGRLfJZsynF+9Zw+koKsqjnLxT
Ium9t9NoLNxigKLRD+vRhUEKsCPgXald/E0RbdzE2w0tyM3ErMfn1odMIprSX5k10iIziR+6ZAUs
4c5sIVy5XuSseddWUvbk3bRoy9D+gDgb6nI36obPkYLWUTkcJW2gVRZH5mqG60NydLie8orcGyO7
iJSCAz8qbFPThEQWzMrE+JyMFQnxpriRNO6m90SQS60F9XXhNGvwj3ST8Sa6srgXtvOODBiSqiPf
61k8eY13Lob0opymGwPY7YLmWLi2YbMtpgwSYNc8p6DdoXfs3WI+k5ToMCQh8fHsxQuXwUHtTu9G
U38JtO4wFO1VWmpqlJFsorxdzcl4NL1+XCLUSGA+K3Fjl6giPQSw3rbvpZI9pONgrFB4PEfIjx2W
aOhpWoLcfQQ6P7j2GaHioOGwplPNy0dWXdR5U02XJbVfWyD+C50uwYoF+UBdPGJV77pNOPdnYONo
mNXBtR2Oz3FEpc/wh3S0qknB65CK0kiY+XghqjBCyBiONy1QWSr6fJ2OTBmqhHZpnls1L13BK+Ha
xxRF4LoY/YsipfsjO39cOlpwg1gNg7Z34/lyZ45Aaezco50wpXBAy4sg0KsNbLL0sabxzcSjP9dQ
HC27VL3YVvwAiwrXfT8A4vUGuQyM8GXMC3z8EgDHkJ+xoF9Psuh3Fb4AIPndVSl79DHK9odUdgvj
D7JTY8LVtnHEuPlZ6IO6TKr0vAn7q8iSOdJFBCa0m3D/16QnBSl/tu9vLDt24Zx3Lw2Tg4VX1jiG
cyOkH1Rpy2DW3mn5sF+EdbR1PThTU/FC6DJkl5TBvczgEqaA3pTQJL8Qlcf0vagedTfzl62L8COb
oGTS1EWQCBR5VbBmW2UuQAeJdoMn86Xzooei5EEiW2uDqQ6VED/5gu2OWZkJIb0FLL+Bl8x3Std2
b5rDzqNqhh8oaQQWFnpQ2d9h4bwa2BMR5rkFXwyAQQ544Ey1icfNVWLbmH9HGzM6L7V5WCEPPU4I
Khb+4ACOFYD7tcS+s9ppq5RDVmFdxkH5Nur8dY2MH20bj+NQ03uyu/ycCWWFwHA+sv+TTOrkCtS1
b9MSS+5kdOvEFcVjlcbpvpmrO9gB1SrNzQdtkqc2ar8OVbqhW3XHZi/Q9jSwZlxv30TByYmqW29O
dhTPBGyHNE0JlWIYIdHPImFyyA+hMyoJI68Vm8txXqOxAKJYgzEhQRK8TOFe635WrS3apUwKxnyN
roreZtr5e1FPz7bGw9CGvbFJEvd2zB3iIX3tjIDkZzQCqyChVB/jcltUBX/eKS8h5+iLwhPBGgr/
K6MnuQE58SQF2o64si9FZ98X0gZvno67OTDfYzE4rLE6RnijDtfumDMOcUhIam1UWoLp7RqzU7vQ
o8lbVLP+ZDf9hQfxdD2TxLSoEXOtwskMVrFDwpatxc8COVkSMTtpIz9eVj2CqJ7MckTW24kRAohq
mq+dSHZxAPYrciHOipak+8pQnBgQh2vbc/GrAiumx1VvegI0ICL2PaPjaVkkuBImzX7ISNJd0Kiz
llml3Yb1cFd7XrHII6DvQ3oOJoPwiw6TDCEtdMIIYm9ttFgELJHb0DX4OL07mXeXQYqK1GzIcc9K
rSNXi/fJJOR9DOC9G8S+a5yceCFJgh8MJnhIqUeD/Zxviy0k3lW2GJbkUr4NJXje0n63hXar0ZBE
LMt8NPGSd0dl0Bup8doTSu+xk9MJtV6b3mEQQm59ToA9tJ585c34C0c7eQiyjHbdSEK32xEnoWWb
wH+hGXfOwUAuXInSRu/is9KqdQbecXxhRMXer5AMuW7yFGgW3tkhvtVrN18wubt2Ms8G0lDspTc8
jJy5oIbM5aLFhbyuWjNYThaI/CypuB0gF2AzauBQhTy4VXHpulOB3hChHO/dO72qTLnDwdgn5gZJ
32PZq7iHWidrgkE2z8LRtCPAkFZcgw8pb+yI38iinuJ4ObJO1/lxlHW+qW0wXG77GmcogGi3PVTj
txwIcTen0dk4pbcGSsfV0LCkOuKl75FtuQMEEGa0wwoq/HnZ1JtcjO6CgDuyxEpR8NTGbx5n47C3
wW2O+duc1WezR0gKMrE9nbRHgJsryG53Zc/ct+GU5yQsfQg3iVH1BmdLdhEfsnO2YqzfCQ+tWIPH
JzPjzNfHxJal8SOJfHvf91dhkj/7bvISt91JyopU0FZfBdlIgztnpzSrHbZyRN36erTQKflVcTM2
3q6UFNxkD1aYudrZZPhMeNhkhuvQp6is+/N6LPZdVCrMQW+cNbGOpipwjOQqzWf7cSoi272oNKvn
X1gYz1aTa6NoBKvxTw36u+yGztB/r0Evnks6KW8YU9tp//X//kVuDyu78o98KEAF3VKamLgmyU+m
r/EnbcgghxkFPeWpUN5d+kJ/SG7c37C8GCaDYg8pzDdDzB81qPubbkmP/2Iqx8zfrEHJNvpcgypd
D50weDfonfn039egNfuxtHpjPpVlg2ufNvcCRD/vgzXd6XG19ZWZYGCbg3v+Apb8S2SPpJaM8tBY
fspJSiN5rgKEPx2tGS+9BVnEYOFciCA62aD8Jt+9FGnA26B3xrqCWpGM3nEwrfMiK7Zu4O262GCo
RaHpQttd1gEvYGsPN7ZFQm9r6m+anR84G2IK7mVwdFSRqpWJv3Araz0ZCN4qDRQGJZywBmdZGu49
MTyXDJ9OFk6dRVfnPbyFPoUyNm39MSFEyfKu0ji4CRhR5JZCb1sAgIK0EJgV5NtQBPFxnrvyOW+5
zmT1W2jOwdIEs4nZY8fgTGw4KCM7SCnAW+ZALbCR8qwTQbI2yiFfdIbjrZKwYg0gta9KX4KOkNSJ
j172zbaraoAChYy344z4zxHEXA/JrlbKx6D1llUTrmqZ6ntjKg6mYInTAWr66I2Wbi1KKhRULUmB
WHCwbyo9sjeTW5NfCO5tEXi1PLmpvc8HJIXFzGpuNVa6RyJyYScmSKG8XTat/6UJ3NuY+nUfaeZO
Tv4bnfKcuJwReoydrRpkRRzVIShqUu6K0Cf+M8nELXocjpqjtWeOOK5kUF5jxdmBJHKWoQVhJpib
allEjY9Vr6fIFAlVSexRNiBon0Mg25WPlpNa8hVoPfSMSse6oc3GtVcRrzlbyTq0ALiBVg1XGr4k
DsrCS2g5GhnsIj/f2yrvKnDZSgfNTfYlYVijSsXqpTSJC3DibcvpsdrVTVD4Ny4NhjPdDr8GWkFE
DsXd2Uzq6lJP631dBbdIhmCqt1C3tZLUW0Z8TdhZ695l6NTnxSF36yPB1u/FCD9fzgOerf6xbJAo
IIK+7wzSHyM8AcveLx/7xhVrMp7Ou3w8zzKhqqgYKqMLFrUgsmiwjoiAeSW0+3bQxZI6ekf8Lp86
kCcHS1HnwiGKkIMDhyoWmIq2sWOcpzZ9FeG1X+bSP/UiuSOKE68iGQqBUaGMhsa3jPUqWtdx0Wyi
MH/2RHLkVATSOgjXxK0f89TbtTSJl4OjfY386A6SY7UMtCCE4ye+mlF53yfuSgvSaVGDT3vua4tj
ofZEihClTOseTdJAwXHYyZWdyC9sJYdGd746c3Ng/Hsx66hxo1lS4VmnsSiMY15nZIGhsSjBd5vg
teuaKa5mhNd9IKito+mL4dwm2lpO7qGMSGHq42bh/z9757EcOZIt0V95P4C2gEZsM5GSZCa12oSR
VSS01vj6d8Ceqmk5Zr3v3dj0cJoigbhx3f14SFtoXmr3UU/7QpukN9DLNAzT9Uuptbex0ylcztSI
29CxuFz55gDNlaubpjn7eUGZtQq7lajBcGAXXqWhvKJICaZRcoaovu4s/uoGkJKebdQuyeZX6TDA
tVxKHG+PnSOGkBoH67avLrthPsgyeodfJVZK130vGyTZvfiuTe13WQOj6UYa1vPKfQw0IKZ6pniI
mVxWZtgSdeNdSDVYOu6a3JiyX8EP/259DUSh/3HifvRv3//qzOWrfp65xElp9yPXCzraMQ128z/P
XOKkbG5hZVimZ7kLnePHmUvPHxBpYPIGqaDly3+79xXC/kp/egYqxT8yuprm70Uu1r4uIDRhS6Q0
3LZ8F78/chXjmmmraDpH+bU5uRwdCsfV2MqHcTYGBlSjWkkjv/Tm9NabrPepTDWWEbO+GkL2hyBI
xcpt5bFJ5NkUKFaj5rzLMLlKO/k4L9fSIf/sWEJWGluwCLxFWmYlSx3HWGPDZimbXULdgfejeskC
DoeDqMA+IQFiBE0eHSKedE7QuaUDUTI4zVeFYT8nKR/zaX6ngAVz57Ijq7qHJGqva2mdIrwGO2Lo
d1kyPhTUs5xU3x6Loae5Q2sudA+rzJhDwhwLfubZjz2TG1t36Lxwi6qtgIIB5g+1p67EFsKZDrTh
hPS4na0Qec511Yb0HmyYofOJWmwrLwU1RvmLbunfCbecm0R3VkFUTXczF4GoV+ZaLxsuW6wp7NiM
OLgtaL+5Fm+kZr9kcwLvdlAuuUORHt0ikn416A2JLHqP3SL2vWHxt0rblxOTySDnlamTYYAEhi/F
fiRfUCXrgAQH5oyOQ5v1NB00RCZxxz7ow4C8D3mwohCsakVII0fb1zhwg5jjJgxSy1cF+7eKtQUe
r03SsCxfrtlD72w6MGkrWuV2o7D69VdHo4KlZbncGoHsfZQ0N6aikSuwKa+zxbQGBAaTieoe2jx/
jaCMKQD8Fl3tttUcpq67GGsA1U6c7wtDaJswKW3SRv2VFEBUEwyVJGufJss5ZiU3ncye3irdrh6s
DDpYZnHC96uhHA6dMe5oKVJkoRTZrEjtYY4U66AyLyi50FdSA641aRTTzJn3qPVQ55xK2w7SgFWJ
kLFkUTw1HGbJtVIUJSVxAVdZus0ZA8pdFIXuSrgEmg1FTzqkJo2leV13jzNusNQ2PguT3xkv+Gfh
Yb9WyQPQrxd6Sq7HkAzC2HpklebnpuZKJQiVYOJ01xC+aR5oj1nn8mmO5+cerB3Orrd2ijaubVyQ
3fH1qHxxoqH1lYk9MxEYrtI6vee4eAhRGrgZ08Yg3OQC7uSmnEnSte5LRWAYvcO5qolZz6G1EyaQ
Yta4OzGBQ+y6V9sLbg3iOK6en0EtncdSsBlxZoMQWQ8W2skvKZc7GWawTfLvCQmlDlfJphnUroiG
BQVuLbu16TpybPKylHrLgdKn1m2e564Z10Sv3zLFLsQWSbsWDbfkNKCqr5/unZmhYSxSWi9r9z7P
Ay7o4mX2wqtUjjemQaufoIpDVvK7ysQ+kx4fI7c64OXjA6gW0ty4oVGXNlCLpoxev+dj/Oy2VGnq
NK63EbgyaX6X9CJtYm24LhS2w6zRrTX5HxdiMG3YqRNiwW7x9Nl0f1xTZ36b0E612KGqg+pDsaG1
cdjmjnwfVfuWpNW10mtCe66t/GYQxOemSjLW2BclO+nr2fR22lSEhLH7Kr4rc/2bmkAXB8n8MBfF
pTkH7zpOtS7tpn2mpLZpEwORKmDLXIYNcD5shNCkP4rSnTedGyb03pQLwLHiYAeSvnLQVXgXsYNS
Vn056+5Fa+jHqNMPYdje1rgdWWiYB2e2TmOnXRQZP2WUVH7ZhgIHomb5ID78OMzQAlzrVyfGv0f+
Yon4+yP/On379lH/xTWbr/rdkU/C6T/pleWa+5sjH+sK572DnejrwvybIx/2GIQIFFj8AIKg70+p
d4kHc9EGBwxUy+UI+idSL6rxn6/Z9gIcWwASxgJR+v2Z308Dg7TlDud27LHFtclT0U+3btFD2pbB
OdOr+ButBzmCjHlPKIzDw9S4vLjDpxaKLfkbi0iXhsETrrTIU3y4LqpXVKv3OuDWNaZuvcInemtJ
au8EhPPd0KsrOiNyPyzddxTOO6efn0IuOHhbCaIZJfvDIsz2iVsezeXyn7lLwk3m2zk17vh3+Yi2
3aom/kWIbtLhVZJAUFRgtwnrUAd0AnLp97jxrizsfMIazyENsoXLy5EX0I0RCrGlvYMMqdUve9Bi
gzvGWbnGOID8TJb3xIpxZW1WXXxglmMNX+p72seyLZ27DaDB1tt0IAM2ZqJ2DqlWytIyuVeldY96
C2lB+p1pbjoilKsKHgAlAdNh1mNr3eYhmqWYH235nfY5vzbG5RJ3dPv2uRNztC5jaLjUs/ZoOcw3
Tg+z3R6nj14Uh153t65JyZ0U4WOgs41bWppSD3cpjkiGjOXS5sIKdk/LtTMo6sdCs99J9lwQ/cc6
O/sOzNqq0Q+dSm6MiRRGYDu3Hr8hFbmQcQuQ42l6qi1560TiPRlnQc2u5DUp9CXNMjxkhvUS4x0z
SkQMHNfWtux0UGWje6HH3j1tGbTozOIx6uN0NeRg/031UI71iRXuRVAnkA3SlIKR8HXstfvSxJ0f
jretdLbC0Z47Lf5G4JYpCyb6ui4Dl0Qf/nGjqT5dFEPRgUGnF/6KP9PlgHhQ1aS9rU987xtlLGUL
3bwt3aJhV04PCAEpxCauqIG7m2PXXtV58WrmDpvQZlpDUn+zuoHPl07uI1sqhfu2uNT7lIq7+UnW
ZubT27PTU+fYOdO+cNrvvWaBxQrNe5tLcRAhrVNUfa2LAXGBeIvPlY6qJG2KfS0EIDxR/swFOXmM
W35JM0PeyubYXlmZcds65UaWGaTVjBp2pFkkZMiSJ6MrHsfmJa0OJs/cS8amqFj4JmGArZraB1Kv
U0h/cy0PKlkazNxm3IHIgFbRIeV1lR4T1g55/WvlJ7uSVuJIr1qOplDF06ZlQz4/9F8zoU0FEtNa
oBLrLlcmExZe38cIHRxjQ3cnpD1DqrDg91qMm8vc6bF4dnO5QzdmJNWpGAT8mB5xy7qbDLYoZnbz
pejtGFgij1sa8pGmR8NZhVy0UQ8pXowyP/DkeOeVTMAF2Y4xnL+TGF+Bv/Z8Gvq2glm6SzKG6pEA
Wk4LmU+oGSesexoti41/BMDTe4qYzEPPVnhLkHva9oAMs6pxtqfM8lgGtuUyv81M+ch9rOaY+60w
D04pN4HEcu747eo7BMRTEzOncWeQ3B1qE2dBoIb3xrEei8J8zoQLhYX7Rrz04VV0UC5Jm0c7ZEHP
oByuCRSchuXCki9XlyRM0bfnHf+tQQIbXlPV2qwIuPAYFWAtM/mcuAmVsftYVhHqrvVeN4BFReae
He5OTleIlVWFlCMz9uNnZlkilP4uxvjW4+7FH49LWEwhZJu4DwhKA0+I2a7twaOeDKuzs5z1XPFm
Sk4qv2h5mCYePZfBoAmNQ7NMCtQU30IXYGzWjxhTLiDIXIJxB226TBkp9QYr1dP1YkYZYqcLH8bK
9HmjGFC0pUuxkFW8bRFSISiIU77MM6h9095gxJkD9aZN2WXI6KMtM5A+Tt/oE4rvJlA863ogPdUg
CGYTWWQ3qL4NuEUJ8bA9ZGh5iDxK7sryWzRz/wT+nCEY1nstNx7gXGdrVfLXSF1FP00ifE95vDaG
g5vhglBOR38gp0PZEi4e2PhkKZ81ci8DA58ItPpYC31iTkLj2VgOtv1GtY18NbKmda/+lR2+JISl
9ffvJ6KXIi3+PA8tX/NzHtJ/sfFIe4vL0ZPWYtj8OQ9hiWPFARSFcBS6A3uOHysQ7xfJcILJlxCu
jj2NzcR/ZQfSucLxMLECRrH/mfUNjeNP8xDuSOq5HNyioAAk38RvrW9tPcR5asTjuWxBV5ceuCBV
37cGD3pskHyb9bxgB6inZ6PNsrumU3w6hd7tO2ixa51wQ8CMA6LEMk+ma4lNm2bjenLjD3N22Cfj
NL0Iq/5ddkN5X0zLNFGl47WEP77OstxdS2qJYEL0V7XoqIrPpd9HYXHOAs6oYYArpePh3nV0QWwC
Xrh+o+sP2cymOyVdQvrDBLQFFnry7oOqq7ejFRu+Q6ronEZjtuZj/6rxyOzlkvqajeihokz3KjSm
fEs3Y7cG1IB5hl/BOdI9tSVaIgnBsjsNBkakNqPFdiiREGCgIALmM/jzwMWaBhjEAngPVjq77Kpp
l0jtZWDypIahW1NFRbojLI+iszaJG4iNEfTHpNYu+sJjVNCvCiAtLLuLdkUzcsb8Fr7avUVUFlNL
QaokIFFa2zlL2zAguB9Ed60FV9lMNcweue6unSDYJ3Nf7TUn+4A2lXJoOUenZnhrMZusJG1d21az
g22ouL/m9gyGgsyJdMq7QlMnK53ePdpdiVeX/CTmdzU111oDXCTxiJvV7RJqHryTOZMkmdV8sgv+
pG1JNGUarpPMfDfM+mkekm+aKpkHw/BILObMJgcCWrl4D5ZuALohDzZMVoqZRnrMAnnGTMOeLbPA
vDuXxZh5ZMpNDIh6+FIG8w3Xh4u4IoGpkbgEz8D8xOcDu5pXJd7ZpB/CfEf2s6eDS+xq44bBhabw
T+GZqgM/tfEsha79oVEsH3UeviVt2sJJoyKbKetK9Omxj+FFuDbalkEfDTl7Fs0gsYBqIXMEi+Ax
oXx4iwTSLGJIbdvg7r0aLxJKScW0jjEG8YQRl/AQeopYhBXCevySF7FFm5BdgkWAGRYpRvBJNdFm
0kWk6SPrMC6yTbkIOPki5Sg0HX0Rd6jfxo+yCD6GwpuwSEAmWtCELTBaxKHEtu9r1CJjkY1c9CMX
HYkmi5RaTBrhskVkclGbQOojYbTI/yQh23W5iFIjy7F+kalUa1+SNCsphkDCEmhZddohaqFusaWi
Cq2gxZYd2jo1nxtdnbUhoJMHZcwiMNl+iWVUbu+aRT/Dw+p7CGohwppXlDzqPCZl6Y5Ls8Qrt/wj
SKHykGhAZNJI18/hUJq+6rTwlsVhQPiKlgAo0Ke+whoRS2djTJziad7zOYcFRzfPeDPpuHSmqkyO
1TR7qHmG2ouqJcQDNHY3BUr6QquaQ1nlF0EoKAgIOvPYOMF8rGJd21lFJTZFVd44GvVCczIdNRE8
Y4ozr42Ysk7efslBi3Btsoo7agw0wRiojROXLxUNBp9NnvlUzHXWjRvHHzNFJQZASrOtV/+en1/n
55KA+Pvz85qG1Lfmzyfo8lU/T1BEBNp+4FB83f9/5xzXf7GAZbjsDbixIhX8PEGpCbL4R1gT4VtY
+heu8scJir4AmZG1P2XS3hdJ4x9UBQHm+OMJCnUDUiXfBVYBD2TG709QKwzynPIE/WyDgkn28PUM
NupVchWrdG3NzQ2lwk8KCI1RtemOd+CTFtFqmC22a7RIubyAI0b0ui2pFivqG4eSVGmJi04RGs3G
g8mrc+72dqy9FEHApYlbQHDWYxlcIe/i2rO5f7s6IbOkATHgTPN39uVkAxfPEF0qL66FR8UztZbH
uH2ZC440Fp2+affXbFrNDRXaEf9cXMw9SBrM+FcWQTAG4fQx17qJ3h/xEZXN5zAb3z2NbG3RJSFu
4/Eu80auAKP1MkzaUz1bzmqcKzQFx6MhRJ5yZ5ouNCu5dZY5dMzBQo6KCxXbI/5D82mrzuJ/2Hyr
e92nGMEAFBXBN1SW4WdhXZEwNL+J5Jm9a9g4MCWBfeLn5ZIL91y5be1zBZmstZ3QGwEywkSHLDHs
k9A2W/mmR7QwbqIRAGiY9yFEnzzZw4Bbark1zHLWWG6EgpvMALckEumsZF+cQGjo8Wg5uHqgpA3t
DSgKnR8srW/6wowhqIHZZi7nV7U4xZsaP21Y0e2X5QC0ssp5Luba4GoO0NGqLeptC46qdrmijpK2
eyWVTfp8mG44fSz8urHw46Ffh4VTHCXRzhX30+hK2SL2B9k1x5CShN1YB2zLqQ9s/Mpg96uFptrp
SfdpyMLbVRjT11Wigr3uaO99y5/PoHtmAwcKLFvFaRdBMNlbwvmQWkEdfDUMG3gLbPWldUgF3jpm
lvTaMzFO6E1Og6PGVl7SZr+zUpOyib6xd15YfWSjLncQx6jWq7X0mgRAcOQ3x/VLDfmbV3B2G1Mk
9kpAoW4EkKXcwJps6m1S+7qLGTKrtfy9nMDkF9SKrhob6ZZa4fpicIvhIhi6eidD6C7l0jRVAovb
8McjOdHYnzC3LFqKQipPLHO3wPfoOZ4z+CayZA9BEe27yBB/WF0hlmf4J9Ek8Lpi5t2wbNBJBqjc
8eMcuBvPXHCsEd33w5zk7SakDUVsRtMbUcDRnz9TKHZ7T9eNm4KFic/03FwQsRCwMriR12K8TzWd
oUOk9io3ZQLapXqcNBmsxcxETK95gYWBQui+edGC6iktctYLnhw2YcZKv8+geMYCZ547xY+M2ddx
1USvnIEuG5cghFrgAUYryfbO3Q1mbw/vcRqtqRarDrJzPsK0f+2E2g6BF65HqX0Ocbtw3qIXU4uP
IGGeRwdvHEgqZ51m9fISkVf8Kg5dIj8LnlOtWxw+mXcvPPu60sNjSSPfKq+LEzDrb4Yjn/pUG329
HrG81d7Bq+t9MTd3zSwfqtBRG9FyTWDqhjU7RSvcDNPONNDb4pxlgUeHxxA0OC/C20AA+nMDZt4O
h92FLeY35CsG/JzppmB0dNXZM4crbTQrf2Kry5PCmEYuh5VAlNJDA87jPfYQ1ZykjfeB2RO5tzqT
SLW0jg7M/5XlFHTF2tm7bGzeWaLLCTNX18Wg3SEFLlSwJDoG8BoQYwLotdPg8S2xMZk0un1YzjiE
c4bgJiNKikAGw6JbHp5ZYBokYR3v29IONzGlvztSCNFtGtSl7xkwL3jDdLsmdlgo2qPclZZOgX3M
4hMCZMobxp12Iwb7jSKIAgsgszZyjsG81fZnMwUzTun5ANzijNh1kZnxJejzbGMOwtiZA6w3U5Rq
m1CatmW0FbtUcQuyQMDuDWe0/RgFMQrTmeR9ZOwMc+RVH/PdhhlPrTFgxMAXHeAdTVMwrbylRIVC
POT8pHbd23sc0AGtjbqz02IEzDhjKVwFbbDOM9xBvKa6f0edX92Gi7/g70edu7f8/47FW0UnzF/M
O3zpb+YdqZMdd3Ak/mdy+bkxYJlAISEAdthhpOl+Z1Sk+BD4qomH0bC/sGE/5h0oqh75jK//M8aU
f2aa+MpL/jdEi2mCFAFZathkFmsIbvS/H3eoW8novZvq86T1DitPA2onAkTuxfjBwvwcWc4V8nF4
cux6h0hh31TIjas5ELemsm6TuvsoREnuZAyB//QXoatve9biCaRorQcXkuuXXq77s8FCrLdGXBfm
pUix+5pddgJRvlWBS+hC2xaTduPE4YM75U/22K49VX14HLc1V7d0yg8JwMpQ05bPvnmwvfARws1a
s8QNrbGnDkgVFKDTiBKxks54Cdxrt1izKaZ9sLFTa/xEm7Qe3mXUXine7m1tvppBuuvb9pgrB0ek
vOit6qTC8CQLDo2ZXElYnjqwDGYBrGs0nlyLBwzIjpwmwg/FOdbjE21Wm77D5dDMfij6Fxk112HY
XQXDtGY9sLOgXYAZOtUGLyn52cBNAg0+4HTuOlzR3ht5CsCt1lMc9wetYV9iN+ABZ57f2M/KeeWU
9d3UEGNQY3QObBdhCX5V7DzYTbafp+Y289r33BhPmpefQlVd9k62pzXumNXTvqswFQblpxuX4EJh
GSl5MAPr1g1dnCs0sbVuzus4Ha6SDgiMPlUXlUrezMK6laWzDiOF16tzz53WXgZG5s9Bf6jp5mpc
7TaW40EX6tFagNTS3Dh5pK9IBrFo5bwIlajWblZdRV5K8eNQgaGaOuXjnH5zKYfdldW481j2cEUr
nwyDAz8bxvfcdmSANyEQ1aaZ5MDatvHqeB9DxT60BWa3szXPkKdjoDjmjnIbHG76wF9/BHhDdJ8c
BuFMzStvk6Itjzn1eOuGYBKxPN28Au/R+/1EFisdMU3IHBIO3WLxraEbu8RgxwHUaB/nOFawxtIZ
F+nzOjeoMtZz9llxSXyh9QThCXew9njMbXBJ011kTZWPzj2ulAkAdO6IzwFiZWoMmgfu7XC1HSbv
ODVuIm8iFh1/DjarFakZ95qhvhWe6WNJOs+GvbXq5ASrnMQNQ6SVqg/sf1ecAU/awNdd1V1Lo+eE
Vb4qsSyYTsDuorgxCviuxEx8fLAtqBNwTTgnQCCV1nsAi24lSOmsyqbq/MaSJ4ZheDxj/F1q7Px6
i900kdXKTwzvIyjlaz4ZD7btfPD9M80VooExbqa+WZL04ygqfTYumJkTZJsecbFMa6hU0bkPsyNu
vkdrnD47Vxxj6R2hkEJY1eBGBeFjNEOOydLqNKmh2mY9c6fRac5VkSp4ESFFJ5gzN0bYU7JqkUoZ
9PyZFmp+y1VGDnYRw8Zh4RYF+TZOxoPS0l0sYIOR2+AqhH0T5ss5Eu47B+H7aJFCr8eMz63r7E0S
k3xlise1Jk1Sge8qOWgr09ipwnhuoTMtTaAIjHh3iaesOid6ngI8TlKzvkWqynyHe5js2neNyEhj
ONN6VAI4onoyKeZeT6yCZqPDfwofyOw0YwncdKu5Lu/DATVOxJRWgc8jL6TUs8mYzlJEuXy+zC2G
b4QROfCIRgkRm4LHsh48Iiim+ZkJDEK9ChYzVM3tEqLtkFUHQFwO31t/xMRxHjMmrGnuGNTMwxAS
Fm37x1yIYzt4rGE0SRMowt6qo746CcUde6ELOw/v9ckFnBqT0aUPc+VZg+k7o3bJuk1f5VPyUIcW
E0lWuj5xaWizIYmLLbG8IFxrhVqSpK0g5NmHB6tlpEl7QlDC03ZwA7lv5bCq8yajs7wjRZFMN2VG
eMvVx/QmKvpo/e/a5de1C6uQv59FbqP+AwbU94+/mET4wh+TiG79YhGG50wV1tfg8FO6gPTu4M9k
uyL518Ek/rl4MWluZttieg5JBnQFmxnlxyBionew30VwgH1n4vv8J1aOr6ar3w4irklmA5AA7k3w
AdhLfz+IhEYOaKkzwaAXVVW6lxpJRNbgbE6aTPgQrZKz7AwzgW6nsE9Ei1Sug9R2ERmppvC4t527
otJ4MkbtYNu5edVx6fUHo8kv8Cxld/gFhnM3WuUl/IPiWxu0w9HIhuTO0of6wmL5m6/b0f1QRoQx
30I+0OOallaXTudXTBdYzLQe1a8eWLHLlONC542c5vZ7z+j0qZnRfGs0ToRgQCsGDw8xZuExK5VO
5Y9GbGBDiElNh25ynWWdujfYe9x2pZaGdyK2k6DZpa5ezQd89Ky4a6q2qYjXXc4o/oUdOS8caPgy
Cb1x2SmmNybL/qZmPkIRoHEE6yMajTjRPxpvMjuq4geNV+dihkxcl7y5U9XEIE3Yx3ZPrxRsZPNg
9Vm7mdmI+e6M6Y5GS68tK1/PbaJ1fS3ti7406zcVRw7LEAxm+AFEw9Wo6nn9TVFumju2uvFhgjoo
/WK2bmedWN3e6G0sdm78rY1TrqIOp+yVDf/04FVe1N/OMZb8CU2E8FXIB3O4yiRTnrb7943w6xsB
Ze/v3wh3b98oHyY/9Rdy5tIp9uOVAJ0YecXjBoJq8+uD/5vLiefg/PrxT/iq/8qZtE+xM1weU14B
aJY/3wneL4Ilre5SOLQgPv7ZO4HKiD8uY13Wwct3x/UERfWPHVJm3Oe4C8bhPKYexyoO7y1As3hT
xotjd2xxsiYNWwPb6l+GOLsoGy7sjvBcPAgRwfEpaHyVezrl7c4G2QWzzIRI6YhIuxDt/GYrYz5x
oH8MTtXQKE2TQMkkwtntXCFcUIremxXLhL46we3axEwwLU0wg2DqjJhtstY4WrX+mYzT48Ds41rJ
uWIWcnVjLyNsXzJmcxUtA1Oc6tBIlyEK93GzDiTOKJSej9i1HgZHe0167WNYRjBX0X4wDph98yL7
XmVMXInQTi3PP7sbhrghIQjVS+d9SXTjlWDUS5drT7+Mf91UPIbLPMhc6BTwiN2vUXEZGoN61wVX
QXSgCfu2ahzop+pjXnCu+TVXvwEQQ3LKsTLNY/yUVTTKMJmGuX3fL6OqiD+nYHGsMsN6FMaDAGa/
1jPfFhoqyrSMvF0aptuxpS6jkmx+aibjDHI6WU+GZTI88dpMQ9C8yyg9F9a8zpbxulGUbbC0aXyL
2TsJcQRnmrmj5Se+BaJr8O7EcR1PWJf0iBC3XVAcXi8jPQtG0r0w7I7kyG6LZoRQt1wBUCcPWL4i
vzaZSawutvedklPymAeaG1wZzZw9UVWgyVVKLTa/vn5ejybL9n6M2KPa3mcD1G8M+3PY1oTmvxwW
7ZfboqaF9ztNAK4G85/wT2TpamuDTD27AgGKXRoXmkWOLhdhOlskapJSj3UbjQyg8jVZZGx7EbSH
RdrWSkRuA7Vb5sPBzOgarlUHDxCZsUYZ1zqWQ50YzM0IL2AH2iC4zaysWrkN0KgGdb1aZHYTvX2E
K33PJ4CknuUW1GcgywMfaDbeItUznr43i3jvJkaPYT38KHV2mbM1CVC0OnfHRfUX3AVAj+gYadpu
Xy/mAAOm7V3lVCkF8G5+nywmAkTIkLs8BgD8BW3r4CLrODyCyN6PDja0TmksDSEQc3OYYK5KtdZA
fqyzhNp2O4JY2zo6ca1IgaqYxNuoynUVDo/cakpydGJasdGL/cCS7ORHSzvATBlek3gYyOdXyo+8
Nt9RIZJ8S0y72afdgLRQecdkCMd9TyxsU7dc3/2aXNfKsWHZDKauLkPIhVdeP50aTios4GDJyCfw
ZGY9RgPhjX5r5M2V5s0QDHSoG4k9zpt/z6Ov88j6n8aauwho6lR0fx5Ql6/7zWkEVErXOTx+nCs/
TyMT37BkcY2xhSGUc+XHaWQZhJJwzmB7QcWSzD8/TyNUQ8K3CwrKsnB5LqrhP5AGOcT+eBpZiCzA
/AXTrsO3wpH4W3ONrjoKaWqnuB5r4W7zHqqEhRSxmoFNhC43vX7irc3jKs78EOJCpBkoEAdcLBBy
+BYRZdpXFKaOq8Y0KxpeHWtvj11zGhJVfsexk+3chbcRpi4xyECf8NNKDXp8pmvjdVNn7ZnWM+sF
B0y71RXH5ZrlMfDdXOWnhGs7ch7ckzHF7qLrAI2CcNjNnpM9gBaxX9Lere8Gw+6u2iZ02aflBS+S
jn413ebUMDsBnN5sjI/C7tJnW6T5PrBZSOWlat56pgfa6j2iHbUcdm7MyNyFfXmD5L7BdNBugygo
/X7QLd6aGtTOb+CpQ+tCh3Qyjdu2SLqdPred9mEFMg5ppU47APmqyeuzG5ZcCgN9DO/CWGrEgjoy
/3Nrzu5wgqIC2YXKJSyLaDKD59Je1peD5tswT6MLR8vBw0cdDhjo41XGllwSDVbjizOk5tukuXaB
/8TJt0Ho2McJL+xdOxTzm2nbKKo5fE9UKnblUYAUpso+eOeTFK1FPs9vqgnnD8DJz4BMtnkQHbXF
nZvpeKEGuy73WjkEOpXyHZahycMirLfTZVKMLEhamYyrMSu0lMtKEG2brDWxU/ZExsqkerLcKD2k
Un8wkyrclxrtO6EY+pXNughFtHHuvLDMDq1Gfq0UlXMaJdCizAAsQkGRDbWmEdkHTFr5rrk0qJtp
667KMTszWGt+3fZsDDStGTdDWtELCP6dLaBWEFsqVY6C6y1H5Oy8BoQx/FlCYxhVEl+6MZyXRqvi
F52+rDVukemySeiCmbtRu+DDy2bD5R4VB7V6hvk3POQLLqQrxuhOg2V7HS6gETwVburnsJuaVdMA
ie656rSbZrQbP2BvC7uDRR93BONDOj37R/PojoN5A5MapK4oHP2jXOAsVcRGTtJrsGKL8Z8G1H9j
Hwts4H/dDfL/86OP4K+uBr95GevOL8LTeeP+SkNYYps/XsasC7BbLNRNG5PEVw70x9XAxB4JqAH4
ASaPr4LQn1cD4xesGyYVKRgkKYimM+6fvIzNP14N2BeYkByIgeIM0VEwf/8yBiESNiHc8ysYq8iW
NuWXQbvuHDuBAZINJZnMfnbR/Ok2MGDi59N81xFZCPBQX5o0tb0lYb42W9xdonqN3VTXrwkqglqI
e2JUq6bP5Tkr2vkYmF0aHap2Mu5RbDT7oDeCBaKUWnvOlKmOyeSIdmNQLarfRS7Zsos5mNPmG9tl
Z7iqzbK22XshNTh5+kHCCsdFzvuK0DTJj51YbsLy61LcVlN7sFIDHto840DeKDF1JBFdFr1uFYoL
o5Pqoq6qmE4qKlM2IS+FdV3V7aYTU3QBjMm6VGouOwxYSr51DaVcXIUUjm4EqHmd5GF3HRr2G9jU
Vyjm32KHFJ9ryWxdOvZH2WYfjiyw+/VZZX2n4INGBZjtVTAc8lnY2zbROgqPA2fVG4IL1pB0OliD
Ad2ZUMmTrjFOyWRQ38bI6feNmRuHEKbipZYYBGL0mmRH1Y0sOMpqBx6jWNeMa0BvMG3aHgrAWFOC
IQnY8Mctfaf11s3QKN9rswuvk5SIq9q9mmx7PiQWt7PIwM1oyXAHBQoOUgDBCOdovC6ajvMkT/zS
k2hIoQa2b96nOrle9hg7ds9UMzRZQnSgRhy2xmcrtBQL97lfuY69K3R8mx1kpBam0SkxUaNEyLgs
U3v0azhZJPNK4wyVIvl/9s5juW4ty7a/8qL6yIA3Ea9eA+Z4QyuS6iAoSoT3Hl//BqgrJUXpklWR
1ahGtjJ1JRLnwGysvdacc1wLg6Zc5bqef4tFtd5lVZTfxb2KXSCqvubE0e3/XUF+72hQbr2/atnf
lsbc7zWkwk/+rCFF1iadlYZYmKWXSTX4Y9mi2aFTCLI4/VybfixboJhMDGTiTwnZz1VL/weMJt5W
7KIJcflvrlqKwSD412hSKlUWVVZVvGqI1pa/fxVN2nTcvARCCGShZbGTYoqKfHY1qU5q+oKWSYxp
IzTAZrA6XtLHsMAfAqIZ0A8PE2ga7M4QkIHVlAu2hqFzYcsLyqaqzMGNoNvQ/fxUQLuhZDhO9PcY
fJgHFp/aUyHj+KXCqK5eZxLInKBNr2hLVrAFlCcdqg4R0Y3jK+KlJVJRDSa4hTqu78TReB5VfVzF
Q3mdyfGtIS3mlgQnRyfg98ys6l7tys6NpNLNEmh3BMGBGymEVV4lHaLdej0klEHwHADJdNkupK6D
tusXdESI8xNcf1Q/l2kvTJfx0Jv9Kh2lIQNpsdBeoT+LJYZ0CSysBeSyWECxpUSiRL/AY2U2wMTq
K16/gGWThTC7oGatHKjkAp/txPhrC40WAZNFnh9VhNKe0v5WbgoDdxDBY4iymA9DtDUWtK0E4zZe
YLejBeUAZALjQ+I3db9pdpWYf4HWFJMXloaF6OHyoqmjZ6p8WSWEeOYoOtxhSm7EEOu5wcSvGRNx
afjc56RJImAqzuU8Fgf6R5MjGJaXG6xJQbnN0+LUSM06Ax6UWsZu1Px7mvUM5BNl2hZ6vOpyVdxK
+IrI1WpI4mxHEjV1MvnFlBYqn+fODNpo12OE8yD1DRSlvrDAorIzmck32OxICSgNkL0wStQXWkm7
gEsALIOTqF94JiQJHmd5uhQbcr5EvUH7t9jX6lK8DnAekm5GDGutnCtIKQIsF5pIl1psbIGFrZO+
24QLWqWHsdKa2Xm0IIqN8kT3ijlmxpWnbx7GqPvVLL7TwLUYRbgeaI4A18QLCNBlBOyCKP9QA3qp
Ab6Q5bWRFgIMLeTS0YkRsWfwMGM/wImRIMaMVKf6wpDhkjPa6uJvpO3Zfc1nE6ZA8wg/1DY6EBry
gNYKUBq5RrC3UGraLj3i9bnKFn7NtJBsFEG9jrrhSy40Xtbc1J0kObi4LwMQOCWyoLycd7UufRKt
eCDQFFwX0BwYlUjDkFiyAf6cLVwdwUB9tJB2FIJVyQMmEWeh8CCzf7R8qfDEjKGBPpMNwT4JG5hM
O6RoBLcA6COb2helFAGWLaifIDyzm7qr6uEQatKntIIJJMrTqlooQRFAIB9sUJzlJ3Zfph1aAIUW
shDJLQcrIPmCaKZ9mvLPgBCRu9rS+8+2Jniivs33/MsZiIhC4b0wjJIXnBEJcBP2xwVyFIoL8Aiq
6UO8ZHpqMY7VBYokNBuITw8NsKTB6j1Si9axYn5ugSllHTTVgv6QInVOC26pDsr7aeEvyUsTc1D1
gyl3V6ZUpa4EzYPkGuU+At80NDW5k/CcClO9VAA8Ea11KS/Ep2nuj1pPjuEIDMrPEa1ZbLpCMFGR
mdzFcnLAlnBr5ATJpLF41QKWkktifVFeJWJ3l2Tqdb0QqLKyf1IzHjWxPoKTpZ0MqyqYmCPF4KtS
GdUDOCtukl2x8K1CQFeNT0ISgZLcVf19Jlcu4/R01QPHYg+6FyxpL6DksqtB2KpgtERwWm1dbTPw
WgNzZjIpD6PVrtt0vmz7pLUXKYQCmGssuWVNWnhZk976oLuSAdpApW1bkF6NWu7QjW4lJfzUg/zS
zOaGiV6KVNBf9RrMj978kojlVlpoYTNpgr5cHwCB7zDD8IRJwzEskn0EaGwEOIZnGZot8x4J3bwT
AyVT+2iVAymDlLePDPP537XJ99qEiej7tcmqfsyfoubpT+UJP/yzPJHJySG6HvyGQTzwkk33szxR
/kFeHa90nWkrUvd/trgUA/8YCjEmaz9/6scQlsmtpbyouKh19MVq/9/YVb3dUzHKYTcFc3JpsxFL
xgd/XZ1oqSiasV/P57m9q0zfXrq6r04Md/4UFPk7mBO8cyq/A/YeqfEELL8MfF7VPzRk9XIsFenc
jAJm15WWRiiGv/b95v3j/PpNzN+Ow8b29TdBlFVib9FQ8ZPtItWHwfj6/gEIJ3pdyf1+hDeVXIAK
W+5Cvok8Gghobg1EuHSULYExde9hb3Ca/qHEWBddtLC6pehbHAI1upCLyzYnIY+kk2qvawHRadjY
1csuvh6IKB1xqL3/SZed+qua8/dPyo31+lwokeDjcl7OheL5SzZOedchvSgk9Tyg3/H9hHQEekP4
HPi/pv6XKuNvmSrLPPC3D0BIg6YzIyeaX36jMcxJiW170ZjO7IYiXIZWnR4SYhrR6pZqhXuJlELQ
gSYM8hEBVjdcSZh4UROT0duLwuzU5P3YcskIfNUG4m5gOlGv0+xezpTd4ItMAGUhlm5HJYvXSmLF
Jrrs1s7j2Kv1eltSh8l9taI1R3EyrcP53OuRlwU4oNELAJ1e10C2M/kCdhA09vuG5IKguSHI76i0
KXhk3e0hmRDKvKVnSHAQ0tu4dBPtBo1XRSgBZSyj9WiSnE7qDoaYeUNJ7uh9EzNcE0hkGvK91KqX
cXyMx2zdAy65zQhiLpVZ8QrrplV1V8XpHC/iXS0KVJAzlemKJtriIkkfWoEw2WwmnV7zGzcJ1MP7
t8jix3l1hWjZ/PrgL03517fIEFlN3I7NfBbXysbfzof2TlmTen9ubOnQbugxeDCunWmlODv2uKvC
HR+ELSLKtbhGH7qKv/uP//6W+eXz/H7LvhGDqCmaw2y5ZYtkW1BXDy5OQNKpxA+Woz/dma+XozcL
nhllcxpSXJ3hC6Q349cqcJBvYFfRfef9Uyz9eoq/f6XXDwEb09en2OJ61IoFUyFkc3cBpbHDTU5V
1Hg0c4IzEo73D/inFVCiQ7bgcSwadW8uaYbVyDBSRT4PxP/l85deuHj/AH9aAF8f4M25Ywtj5H0g
y+emdzsa6YPgsNv54Ft8dJA3q6w1Wvo8sXM/W/1+rnatfiPrn9//Hsvn/Kfw6K8L8+pEvVkeJ97V
dZ1p8lnm2R5T7EP6lRWfFjHny4H+p/vNx+ipLpriuf2/y29+KsqpRhnZ/r9f/9h8/3PwrXAf28df
/uC9xOZedt/q6epbQyb+j4pg+Zf/1b/8K3z3Ziq//ed/PH7Nopz2QVtHT638ewNGfb91Ez427eOf
f+pnXQQdhkYLST5M8ixjyQ98VRfhjzcslCaiSpeG6/NX20aV/oHYREODRtqfaOIYfD36Y7PEQJ1A
37/Ubj/OwsX3i88J/NvlSPt9gVRx9QMcovtHjxen/q9Pr7wcvEyrlMhdgxAUFXWopA6f6JgQP1oJ
5zIUa7uZo2OSyph/JzIvJ1wpJloolMnmt6KLjqRa3KgJfQlC0kwXW0xpN0CW0f5uzLRb6a3vYZDZ
DAP/SxQuD1TmKor00Ggt7rUBMs0YMkKpHkMjPk5t980AdTEgvG4FgrgmqTxWo/rEmHQdTGRbKE1B
IEqUdZu4rDcEs++bGOQ3CuMZTCQDeQLHtB6iYnFrDP1pkMMODrIa8X6UH1NqM1kU71G0ayvD9zun
RImyrolBcxgNIF3Rmx0q/X5l+iVZXsLGUmIvCeNr8glLxBTK4PUYfnO6NnZjlqtBX8LQ+HB7ggtk
ZzaH2RVyxqMCySGWkn7FBFeuJ5mFJCLVnH6Mf1OnxXNadqMr5oOAjDQ+Jiq0zYg+Lx6yMnVIYOJ1
PBYTKhfTQ+23C7U2d4MhvW21WqAZm7twCy9DMkXt3LR2Uo9/wNDao5XLN1XYrQluuYzGSPC6mZbX
lA3oVk3saLhmwHJdjiGJd6ppPcSxdDU1hNBXfmGgc1EycOHKzZxFDwls2CGlW8WWlF1/BGaZDXdc
ic8kFuob4t7YlEbd5OF5DMh4Uy67NrwLYz5/QOwrVopidnR4jZ1eMBrMFZX2A66KGCdzk+LfJh43
aiJkjpLuADW1I5EqafKt3C7y8B610BWG8NEpTIaoMyEKJBqQ5J+TxtdO5CwOmIEwgLeWK2WJus6K
7lwU5p0m+Vz3hsRYaaxsMSsfpC46tHF0qCMYnEIgmY4Gw4EMIXxuVgN1HVUOIW5tufaV4sRkAZ6t
ZmxTYgYol6KTGBcPVVxFqypdAvei2h0Jo9EHPuiwBMdLKTwOSbyQ5cYptWEZCDDMCLptk5e3ndCv
iyZn+1qs6DUSb5dFqKSa3iLrZIABnIYEpoj9/RLz3/SYS+JxPUTlhPsPRlGuF2dx4ltNxkVRDa2T
WP21maSrFo7xfGr7oy9Eq0m0tsGYnyUtv5B7f5NqgDo7Hc/FRK9qgeh2kPi6Ipxdea6JrwI8yQ0a
+UAV8PdWZD4XOb80z7TSQT2XEQoA3SgT++cwGRN3zBTDI6eaRzVpvoyIqofCxHsxdtuCkarjd5a1
Rlq5DSW4ozM9mJrtuULYP/STtSCMgaeN8H5wXQ4rSzCVVU3DMxhDIj8ZzqKXV792WgtPIky+Fkp/
X83dE71UCCsNbYtAGS6mLi4dhhyo0Vu99ViOesXRuhwcKdPyds/aszh6SzwnY4VBIc/arZYD/10p
HSOgW2KQFz4KojZ4vBNooKHKsdgZYz2jJCKc2zNzQUXg1TOc2+BUQhFaK4iiTnSNpu7aEjOpvR6s
WlD23dgV+4HYi/AeM7Hcn5O23BQLR6aMYbcVKmyZaKHMVBgICXy4ahb+TJuMOxUqxKoWahwigr7X
jJFuMVl02A31J+I8GjtpdToosXqfCJiTwyXxQWKavVMWBk6SE0XAPxeJGC8+l776SMtWdluTclyZ
q2eMGr2j0MDFhzjItriwduoWgdIEfmcqG3eMrHiVAOZR8/pS8Lt9Zhaf+2ig/aU4w7jAdV6YPqWW
Oo0y7sKJWTpJXJZRPkYghMEtEHAk4y9UaALYbTtci3J88oEHCfH0kIby8yxBFWoC7TnpM2T6kSvM
O3lBD6lajbe1vkrwV9si6YfjCN95n4bGUUxSlNDwiwY4RiHNJBJqQRtVtHvI585OurFEpGlW4ImQ
kGTemO4Ac8WNxu44i9Pe0saFMhOXGyMH09oUYrtWFrxSia7PWIBLc40xK/eFmzZxZy24kxc0k6nG
cBaEhOzWxBo4OEqXJWuKLBFMJigzXQWXFUBekE/ZWA4esrwD0TPgoExcJoFknKMhP3apga6RpG0r
Z8+fNZugax91a5g8DMXX08KZmhfilL+wp+g33vod5uhuyO9I7dnFQsJnBFjVLeQqnjqVewChFsNo
wakBXMETu2WBXoklm8ssbG05UDYKSKyqpykbwcgiH3tbDcpFjzfI0oovES860lrFkyq2e6J+fIc8
OB+Tm1ST+1lvA6HnlbBwuRjkxHYIqsvSJtPug9yJTblaN1o0OJHanBMAX1Qiq1xuP/UZdhgkHahV
YYFNnTp6ycIHQzdbMRsFcYx5GD7YwhHTk34NmFlaAzwxt8hdLIeZ9lksF/IOILIuJxu90q0dGWm3
KX1ubyp4CS70MiGag7UwSBCkLd1BUYFpiicNAYqMmJNscaFhiN3mYradZXyvPUoh8twWYpqB6luN
LsIu/iSIRbDCGkeeVeSzwIHimDOZR0IzL2Rms5ig8K3o4NnYi98BXkVzaDzN4NtGXVyhy7gvEshu
Qam7rRJt/ay8Fwtzo6gIjWDBKbHgKAscTkzDvQwtLmAK3hmIPhLG6l10ifYE10srXucLaC4XNIxi
dfh96/U/XXevvxUnNNPNr3X2/+qymz3mu13J9vH/2I/1l8f6T9U3P/yj+pYsZOCEZytLyMYS0v2q
+haxhsgi/GNGluqLuu7H0FT7xyLVswxUdy9VNnuzH11JrCGYOTD0LxlRqOXUf6krSbQHeaGYAHil
0B3l073eOSuhJAztlKmnEFRjcxrHh1en5a9q/3VPkkTSX7aAtD8IEEFNoinsPyxNM97szTu/UWHL
j92pmzUPK+IzfalT6sdXWt0+t7XkMgYFQa+iaZaEfEsyzqauYoJuAULrgl6si0FZ50bN6Fa8iTvW
p6b8KqRSZMvWAcsWuuA2GeyZZ1vqJS2BmtFWyjnIGmayI2GZASeRhClKbALCp7mxB1HbjmHjYxMU
GRtkoQ5BIwJFrEbp10pOffLF4feqpFzQRg2E+zhlt2Al6lMXjtmqlYwAF1pY7SViC1iCzbNRGoKX
mvW9VQeKJ8nEjJaqOlzEIzl9ilygKKwx3E11vu/r6DP+3YOGK8SysukwBCRTsf5sCCua3dqvbnwt
ZZ4WHU1EtWhVclK5iKmT1PGZAfC5JRiDJZ6sQSQublC21wavXoG5hVIhgRaFTV52uxZYEKXJdDkm
5o4ymSpyJlOiJRzIMB59qecdahAOYAnEKUaPbeNndmMQGKGZmzSIzwK5g8x8iUSWH5ok2FmdsQEO
cFBziqta7o+pwuswU5hfQq0DA2QXqvUpjuZ2MyfpRe3TWWrmcN9G4gNezSU5IN6pC3U7ZQ4sz7DU
lJmZoJIDmW3Ye3VmtJ1SzMRarGnEZetrsYrAi+nJ5061cAUAYxADZCk5+yIcirtxrh1L7e/UgrIh
1E6EZD007cz7Qr0KM/q+3SL5VPtjONTbgqCTAOV92DMsy6xhk/YM/uT0GnpvZuOiuUOd/AlV3p3u
d6ui1nfmrDGGrT/raksR1lprQWkeCr48Ix/KSYJjyJb3iPJ2yC13lWQ8lAO90a4K8BNNlBet2ci2
avh2oBufeQqgzMUPge/H9ti08UroOm6b6pmXzsYkPltVys9dLT4IgnjdGBOFFukv/UjylJZ+mRP/
ktDL2Q6n4JDEdbKWgpLAGsG4CXmvYVYNiXVnoypmZDpIENaEkim5ORva0RwBTEWRzpawlBD469ex
pd53ZcPLSUb+kJbL0xNTRUmg4bvSxL05VK4GnsuGsXY1mkLgdFOX7nnHL1nxSuNZadnbxKj63tDo
p6CVdS/SdIiOhEyiDjW/EHXbeyERGQUWVh2MTFb3PkyyScDzzFgwOo11pB+qUqfo4lRQ05cBmNME
U21ahK6K5BdvtEBG3oxlIW/95KpgU4CeqRP31NK2GU4yXf563+JJpcZqtjn2M1tSyOmQ5KrZ0NmI
vSDqDroUML1LyhyJrAZLZ7YID5UlSH1p6RVtVeC9itKzgcktYVTaXM5sZBH/lk/aPH2qfeXRSKoN
6xvCKSlzLEkQXCqqg4+leTE+a3aia8iZ0iK7Rt0rLCn1fnrXJfnV0NcDMAL9rEamzcri1LHqKobU
uUWZ742KDY0s8aGN4TLvwJSVRmmzRu2Civ2TUnlxHzvl3B7I4FmHWngUU/EuwXONnJhGvZ+u8zH5
TAWpEcLRUiT6Oq1wJNC+GhlfUPHSC5gJSkGlNmQ3iZQNq54Rv4Iy36FWp7Y35wRPbFQfZzM5KXK5
SazmUqqQqqRNg8AWqRciEpclbysj0fYChZ5/OvW3ulDeZOzROjajqdvUHWDQgQhA1pxuN4h68TlX
W3QekfAMGAhEUceWj8NhHCh18JRKWuNwS4x+A1OUQg2f+5qlP7zzK44gd+lNDh2JoCPR2nVTTUZL
HOCf0dhtY6gklkWmTVIYN1pV4JVWY3W2M5KA3Un1sYwk1Y3uTzcmUX73s59HZOoBmYEBJ9nGgF4a
NfG6FPt8TXpu4aAJxBHYa919HaXmajQnAJxQ0kLeSmG7UTGi28mAO8rManfKige9R1QyYLw2Jq9r
ls2xsUuq6VbEPdVH+JyKMrztUvnGpKDej9PYs0VF2FL46eSUHeF1pSg+0GBTXGVUq/tOLyW3LIh8
AjCcXBlRRyStr9zLDLmvkaKP0GQFy4nRIXrvv57ftIBVxFe4Tyk1LAPhPzbUX1//pM8xMA3i/NSy
A8GRsdX04XKom9X7h3k70PvrOBjeNBhgPPZvi4DWAK2MOvSUpekRpsctq9KFSfYdyyW+yQmIKruj
TT+Wq9RMNo0cHoBC2qTa7lmpDkxmEF0ml9AirnRS6hTaaR1p2nng0/1D5DzxCKizedLFgHLtZ133
hwLmj2cIC64hqWxTIPn+eoa0rCsi1Ob5Cd6uHUw3i8s0LD6YEb2JWjdVy6IHqwAzI3MEfIPx5jpg
fSinLOn6UxmQdwb2Y6swQrRFv+K90fckWAv9vVCmxWVucQ9a4nYwB0ZsE1ytRVQ2x9kqFMg+Ympq
Xee8lbqiPxE+ijCMjExHgyGxRKidIgH0oI/WZ5B5bvRsYNxGlPMVXrDHpE0hTCGzmfH8+I2ke2Ea
JV7SKk9CLa80BKT0uiodACib06IiSirEBMeriNIm1LfVLH8jdepxNAjN0kjuHY30OM0Guk9jEjai
NMRHEd29PY/485hbRm5oEdQtRcEnv5Oym2rQeH9IwUHLSkAaeolYX6LXWfCKkyBOTbGReKUonzXR
yN1xZqAnKenBFx872ja0y1gXH0yBbo0xSJsJN0dKJ5bsLppspV7biiC67K94ifGYETBM6MkoZJu6
hV2eSeOOGegjlN3waUq1taiTSWCk4VEumEkqTbWCV0tIgDxeZbqe4myUbEmfx31lNB9M6HDR/FI0
f78fFicOt8OSIbP05V+X5b4iFDl/154wOz4qVkPIQtmnJ538Rpv19HPQLO6KJnQkfXTN6CVlPj1y
VkjNQsGzkYPmCJ/MHmb5qBXmPcnVISYJrVp1nahumch0WMroJCIIND2xULMNct/SHaSocs0a4IzK
QiRmRU6KXHUdZNjvpLApeBvQncfEjGKrWunZzLhFf7SW6U4v0bytM/lWh2WtEtYE6kZie0vEZ63R
ca8H/Z60u+3gy191g2FWObAMWOlGz8cbIkcPRl9DjVWudW3iDiH+apKvtb4/JnF4TTP0KjOwn07t
vZkkKsGubNj1qqMWrHqv6fAqmks4GrtiBF4AmMl2exS4J3D5KA+SItxLIci/Ch6lFxqoj2bwq8JY
eJJar0Ux3lp578moFnkbuWpC7IJpDnuDCPlBwmchpYsBs71RhvJkmeO2wSGuDOJThX07N/RFrEjI
S+4mILtgaR2MXF8NheqGRoScDFesbEWXNL2S7WTONBQnT09hgJUUNIUesC/hYewF63Ko2mfYYT49
98WSSyxt2yWODlpPRoAvSfpBb5R1pNBnNKUg89Rgpk1KhZp04UEgET2RhruCqNxAiC4W5m4QFis5
EfYZb/FwCMhoSx/6sgHQTjYnrQpXknhrpv6wanm9wz8r3Y5uqpsmwjoezP0co463IlSyUjA4jcii
O8vSKiY3iFjxC9+UNkHe4vGpDvliAW7bVDin5TKiT42dGgz78kUFu2TdEQVHZpBI3lZJfFnDLiEF
/qpkXtEZ0JmGC13zjARCnnmCMapPq4IUGKO/K0X6ZJl4JCWp9kZfPcThAG8bQum+k3vDacgSdgzS
6ta0wt2SumGDUq5xJ93Y1D1ViFEQIW+Qb9j7tfTBq+2DJ/VluPVKdCOH1kSgXtLBKQwQzR4z5PZj
Ty7hcE7qo8SO5f330TKUfTVRfXlTvFoZlhzP1yuDHGK2oEXenoriGyy7frwCFJkH95iA3z/Qkj7x
25Ggj6gyeinDYBT465GGBp5cLPYjnLwJ2Ws0Nk7kywvdoNiGBaqJZOz3ZRmRjyCJ0pHoAY2mfoG9
Isa8PPB7nUYSnhkuXo65QmtP6T4JUXEuROM6pXxj1+O0jXw9Bs3o5m2wAmfwOY/VOyFMy6ugS3pP
A2CzzrRur8WiTWHhTeAUHEq8dd4qxh3CrutyRvCoaLtOIeRfkXGH0C8urfOQBPua17YhwD+SFzq6
QA6kSZNUusvK2otSfzuUAELS0bRbLXukiUv28hA8VIiT7+TAx3XSKMEHZ/WNcuDl8r0+qcvA/NXt
kuhqDv/EHE/m+Dmcv0zmd6bt305TP/r9b14copBSIwfJBNzsGoKlXSm3H9wW798V+pv7D+lDIiZy
MJ00+QJ/ts1pEsPpe1fxb7/Fchbe3uQ682idklRaYtx+PUuj0Qxho/ItLNmR26d2yKhJbqPR+OBq
LMyeVwdamlMaPgJN4lVrUZpKbw40xRHhfnMpnyhjnnipuTfpyndBFtiRc2fn9t1Wd/rDl6vICT+N
3mPqTV94opuNsn3/rMpLn+3tN371WL980Ff3hdVHVmkFLCPtqndFh3DN626dXYYryyNhul5Ja87z
SnLAftqhR3h076mn/On9T6H96VO8vjvfKEJSv0lNGQTl6X7cyh7DlZV1YdjnhsQxd32nOQfmcWvr
FK7GTX6tbW5wfK3HDeuePa8L8C0urTPXcoVDt8nXzTkE7WEH7qfC7k6iM621rbVlaLWpb7PV9fsf
/Y1l7XvF9Pqjv6mgBbmJ0lKIuC/twi5XzbdyVd5ILmwOlwGLG3n5KtsV64ung9dt4XWPTrwjQmIX
n4hvdIixTuyvvvPp/U/1or57e1lffSp9aY6+uqwROUy1ofOpwq1lh868ydb+TY77nRAqmxBNu3bI
gFuDu97In2mkee8ff7l9fz/8P5+jN6sNSw0R6+U0nsS58Ixh2M9Ccuo7OOLvH2dZVd47zptVx4Su
0vdzOp2oqe1+eBLHzUCEhuJV2J6FcvX+0f68xv38Vm83k0LG4q9VcXci7Ied31UZXP5rB3iz51NG
E8dGxgYq0fZyTB/QMtz3j/DBhXlxw7+6L4SsNHNj4kEryhNeuVUpw8YzP7gqH52nN4tbI6VN3Btx
exqXqzKnhDrHzr/2Pd7cYB0Rtx0RZNNp6Ecn0k+QNJ05u3j/IB/cXcabVUn3A2GiOcfbgIGsauUM
3ltCADrHmBonHuRTH0QfnLo/Xh8N6yt+MkW0FqjI6+fWVAAtlFHbndTsuWZcrYQ0+dbvf60/Xp5X
x3jz0KSBhRU8VMcTsEL695dZ9kFX4aMDvFkS5yQbmdFW/Ulk0aYZnSjpB6fp5f343oO/vFBe3cch
IBBQq9zH7A1s3L67fpMc2SKgZHVCLzh3dvbdovm3pcGSRvHuWrN861eHlOj/Sa0c8o66pzGcs6oe
A45tD4/SYd729sXslPyFrXmZQ3rApWBftd7yVr94qC6UHbt2kns9XGyb3AnXH328P77IX5cub++c
qB5Eyeehk87Li1ywCR5Tt7nk2Mlade9ye8fgev8sfmFzVt9Oe9IGP1i95GV5eu+ivLnuvdDoYWVN
1BJu787uNNuyblv71L2yTvqB8B/3QV75dk7HdkVU6Np0hA9W6I8+gvHmvSfAmUT+UbYncJP26NLZ
jL9qK8k19t23cVN62YFR/Vp4Dh4UZ1wnZ/CT395/ut6oCn8UBP98S7y5T5JeydQm59Ykf2ZV2ZId
LVXdNnFu+u243ZKtaaNdyuw7EcV1tirXxgU2LLfzwi1Y2s/pByvly8bst6vyz8dde3NKTMFiNpSz
pFSeutbXOllVq3k1H6K9ZD8FW2KrHXNbbmjqHUbHuPXQ2XOJ2nWyuo7cpUj4qzj49+heZU/ys8W7
6HL/0tsuCoT//A/CpfkvTvrnwT0/+mNwj6UZGY+EO3m5ahiVXw3ucRqJTLVNIh/VJQXnp2wWOxGg
DH1xDakvEA6e/x+De/0fxDooMuN+EWnSEu3wRib7nmz2D4N1U0S5KxIER5YKuXBvHnNDCqQ0rbXi
LJvMVhBbLqTsJQR1ETfJYyDRaktWKRbXPMvlEtdu+JBhf82wqZm451D+nIyu2saacJ4FEuqZwThp
bBSHdPHSwv75NGGuNa0ScWCzhJIJrddjwNVr/xyT8EbUyuLLLWLjcgzA2Nr1HJcic3BdLFxTG0QP
IddpDqMex57ar0M/BFOsIYjJxTZ0IolBXMwEUgomVzID8pMLHLSiVqDWHDIXWBHs6aXtO5GTD5ON
DtbYQgbqxdteAr4FsXCQ6fO0lkqPTCSiVau1J53v6ZQZv7eyoHISTP+Sa4sXJ4+fLILlvMkvmA5n
YUL0dbid0SVt0zJG/5mNXpEL4lpkPLXXNGE4+BEZD/Du6B/U8S1BCIktpGjsakbkRLMhpSLMf5ix
J+rdTR1VjKeS6lY3gnNZYRNGqXtQR7CFaIOWPNq8c3OBVuKgipVjLUFvSdUdyxJZYTIV6YrJ45pA
i52Wy5+yuEcqv3iIBtwrMw1tQ6lotCfR115SjkE+n2Y5653OUJFWxvV92mJJ7gpEp1F56EIzZsok
Y39IIHfNpCwUCQ6kpogVqMGx4qayvo1b/TLxJ1pzQzMgywy8Ss3M1SAU0JvAY5HZDOcZNEclrAsx
O2RZdJbSbq8oDN9ZXvck7kwctLmoIr21zYRTI/bAntRFo5AHThN366pSjoYWYmixCsGp0GYhTqVV
WgrrOhZwaxTNcSZhhKsXIRA19StZl48Www6vnigr1Uylf5rky2h0juxUbbF1JKIBjND3GrxEozWG
qz7Oj4Hqf56qflqlgrkOGkUnKEj8pFZEkCgVc4Y0dqeq1WmYB5fBIB2kcQndHkmEtr7W+oDBvm84
h42+DSritglkP7Rdc47oYQuXRWGk8zcCoJKNQeixlZSfYIhUMFn6fbPESOcMcXZxaz0UiXiFRPqr
WU7kh+QwKYJVAEqjbIad1QqrWpT3RRqeoqLYjXFzyov0AnxXQsw5qunU74at7mvPsy50sR0PirqO
OvqgCCr7+VrW52NQ1Q3o0WggF0ob7UHROa66Jih6PRhzs6gSAHUoF7X20IDdYGZu3eaWhI2Xnphc
R3bWatsBjmRQzhfdLJO1TerxpHWXLHY06lsXJwEjyIi62q/8C6VpDxgCCpzM7R61/RVa/iX/8XqG
3gqbAbZECM/SluuWByWDQWcFEvraKY1WCnUzM6VgUyGisWW0eF7BeMUWOu6cvCQsPJdk1c7YNZij
cG+o+XNRi18zUwY5XKSfZhJlNAnR+liVqqspmIbF2jdsQte/MBXFjp2Ex2g0WSZE8SIr0IrDTJfO
0CDA6hmjJ87Dtw48mZ3p4xUIHHQyef8Z2ceqUsX7KTKOQHJXjFgY9448L6baqDAo/j97Z7bURtal
7Vup6PMkch4OuiNas5jBYINPMjDgnOc5r/5/tgQuY+Tq9iciWn/Epzoq26Skzd5rrb2G5/W+pL3T
gC2BNmgPAKKzmZyXl04Qn8gQA8aK2UejcM9D1MVngRmtMmTCji3JuLUBsfPOVOkd/QbFQpXSPVyr
kRIW8ICwnxeSetZzDC6tzLk2BkbzYx0p1JissRWrzOKFBCuZBtLWqmkIAitQR5U+dQKmE5D3mtYD
6WwzjueKnX33nMcgt66rWruOWBP8gDJVvTSe1LF9CUJzIfvo4rotNRNw2Ogtjx1omTZc+gVNO0EY
O7RhSk8Bj7NtVEENwzuODe/cZwB8QudGe6JLSjrnFzqsDGpffUq+NcnRf8sC8Il2unJ6Ogkau/TW
PepzroQgq3biAzeiYmJ9BXcQrDHHdFrDuvb0fiH5xSc1QBwZFXZUAMxm3kOqnDhe9UhVP5hKVDhK
wxonbVEQ2lOrpGvsU2P0p+CKQ2iHxbKhddOI8vMuy+N1rnQXXt1fy0M2p2o+LAwgDFnhrCR62+iP
GZpF16jPkQOAsbKsq4QRj/kowA6bMOLf8ZTOBeN/jKeAB+2YQuInfwqnDBSADAawiYDsN/AYlQEl
RoCAwIC8piXy53AKHc5NME+MIxKkb8IpErhICdFGTHT0Z9PZVCTf3Jp4ki3T64CcFjEdyhyC8/Xz
vdJxIeF5tp1fpIgXQL82S/rcAKTGffolgBc9V8NSmVSkR/HxKM2ORr0uDOV7i2OcZEnSHXdiyIGw
IpzVcrPyMgYOWA/Irxm0lZRinpC4Ca3wW+eWMFdgVaHaCKwgrtt0biWGTapscC7pVLw1SsAc9FMP
bPPxlETRLToDKAEHX9xQu8ENpxeWQJBkAkbSCCyJ3CvBcQKpxEV7ETEM5wpvDCOPnQ8jpll4Koch
5VSYnI4w74eF3KdzGHbXBCoXvThIdImft5wsTy+WhjhqLWcugWuILDWo/yE7q8Sx9GptGcmOjxZ6
9TiIo4vUWju3xHHWONdeUHyCLroAKWiAGGd0qyyDdYstUBTfmnZ9R8JGaESN3Ho2tqNHdExYk54q
5iwuBXd3vHY3FkfYHktYoThgyiXBMDl5cOwIS8X8yHzEdIXChgXCmmGSlp2wb4WwdJKweYqwfs2o
LRrMoSbsIlVpeoiwlFA0rtGcAG37pGJILR7XCMsaCBvrK9WDDxYGgC72V8cQh8Iia8I2a9C6M2Gt
B2G3TQy4jSFn/jq7LBKFQTFsvCysfSDsPgg4dQkE/EYXPiFqnZmNk8iFtyAWWkXCf5g4Ell4FJuI
3cXFVFl92eFy6hgRI1xQJnyRYgRfHOGdUuGnXOGxHFzXiAsbiuFOxaURInzVhY9LtPaaYGacKLg/
3rlHrSt+boVnhHysTQploDsVr+niPh3hR1ut/KYIz0pPropGQ2p+9ZkfmxdW4xjzIa0KXCmtVYhq
I2aQn3utZB3nXlZd9VWmCmUur0YWOmfq2zBtgh+7O24NbWK7FpM2/arWUGY2NEjIbnnv6HBHaJNc
6VHOW1C4z5toVXYk9BqDJbY9dykl/nir5Zky0VXUaLTc+mQX5kmtDM+xX0QzJTKuYxdVU3NsmW5o
z1Uf7RYHZCZVtlF0RzyFY+6s68x6YlzXm2g2BB2jdSp4MNUVjX8scXnmRrI9s+DOH2cWQS3V90kR
6XMGx3R2uA1iqR/4ib6FOt95A6Vvl8E595IGtgbt61pGmKPJpmbDZLM7xieFmsrzUTYLZjDouaTl
0nLT4y5Uqxnl0/sQhbKJadb1qa9LtB8DD3iWZTe6yWQ9py3VHlCKiX0ai//tnTb4EIG5+AfvFDyX
Ozv0+akfnkmGcqswIivQYVs9qB/zsTDcDRupKEqDUDVEDuC1Q985ssTUKikA+vQ0w+GBrxd95whe
iCqadyxN1UV64A8u+jtA7TTnU3+H+06/vwo85K1nGjU/8dUsAHxr01TlJmM4N5WvmfeEaMJocEMs
zfQ0sFsh3OCop13On5cqmvFKetEU+YKu3Ou4ab4yMjlFBrBfVpF/l5bGEimIay21z3KH21dl3Sum
Tj9wj2aBFZ3UhlUxemjQ6Os1t3mf3kCSgErmyPG0KLh/y0F+j3QBQ1HqiYFkW6IUD6OPxQnHO1WX
imnS18yMEjv2oTWNEFCuGkiCYTreoVO96vwooI2+vuwt/x7S0u1oZ6dOWNwx/ZCAh1a/S4wnFWXz
mcZVOqkbY1E60mK0xsvAYRiUb7bMnbCZMgPJja5G7NllNM1yu3WN+hADq/bEQ5LRKrhxVa3NAKr9
ueiYIBYEqfXYRMqkc5FQlmOI3p20MrsAf0F1ftVIwzLTKYEq7aTLzesub66HOilvY2N4iHPcgwkR
2/PlL3JinEAfhvAo92delBuIEjEKYITpqm4BdfdNc6Lr1RrwY8Z4K4Rc5alCmc9zm9uBFAmtdMBx
GdilcZ/mspircmzpz5qFL3AM5Xajx9zJeosYl7uoK8+bDF1r4u2HVVgNS5qU5jlU46ZizTwv1iGk
eSGtblFYt+V53deKP3etMFvWBlfFkzoLaK7Sc7leZzYpl9pyyL2odRhOikwu6Ufe6IBWG03QuC06
UgSGWjNMJaMa2m8URMHk0oIY61wBuEMw3+ZApyrwDgiQpkKJlMSNOtN09CZVoVNKn9SsG6tHOuu5
xETFdxGEUbfjMi5UTi2hd4oI9LU15sOJpVnnkq/aSCTnPENmKFTy7+Jev09t9FPbvv2Ep0CfVGir
6oXxFCK2ymzf81iXw6RFhtUzdbYC1DBaV8ivVOpJKTRbQ6HeqhvtZb/Rc3Wile6X93Zk1AvgZPHc
QPx1qLnz5LqJRrXVPVW2KuiBXc/OYcAXxWp7Kgsl2diTzj2Iz7MUidkUnScd1VkD9VmVjAfx2omZ
psswy69ajSFyhldvc50OKhMF25hJV4igxFiy+cUV3FKDP7Fp2vLG4ipABXfQpeq0q+5Tw0CVbJCy
E8myxmDGo/qJbEUzyfQlHAizs5JPm3bZQ9Hq+I2HfnGNQIG3jnz/ZDTT87HMj/s0/472DAgwvWXq
HHm58vHffmXrV8jc/oNfyQiTHnbcePipH36Faw0iq/BfbMPauIGfuQsGe5CJhVeCwg+/Yh/hhRh7
J30sMrui9PjqVxAAwaHwLEygjZKQ+id+hXHhNzeeDZxDtB2rIKNszWYA7K1fIaPG7IccyheqZoBG
NGySeppmNo9l2MxbHcK2nLjRCsIRM5mK89mtW3/iMu5PksD6VifxJyvpHJKE6qypa5n8ZvCNkY11
1RansCKZ50AalnC6nblmW1NEVb52Vu8tK7WrTpKiWBctwOsxuNBqaZ34zhkaVhOlrJxp40LObAdG
UK3KXqUB93WQ5BaSxXVnZtNMGi/RfHNFk/61qtXoAloSJy9FrlBS6L6XbiSfXKLbhlQGg2DhMRgR
h3dxMHztPJTBQiO8rkp6ysqimirY8EQuuJqhAjFkmXom5/qFT0pvIivgho2cW1FzYlfuU+50JwGQ
FBW2wJXeI0vmpe4ZDZi0M6vSPbHcHKuhPHBXElIi9mysys+BKj954CRwJVoxJW9z21sSo+YQejNE
LqLIPhtiz58rfAdXjs6CMX+oQuYVWjcK5pBJaThXC2OZGi73JZ9OeTu5BTR+Qdfr18Ss8XWWetrb
xbLWI2T3EvTgW7DHduUtcTkXkUoO3ejGVdMpdOGMjGmZzqLpjDMkUZZybQPhtMOrNJERmE77U7sa
MUA2LXxufhf4hjaF/I5/cKLPRTVYkyiq74yxO0HWpZzUVfI9s8szVdG8Uz/ieubjGNLaZDKooWO1
VleVi72rCu9Gjcu1nJPhYfzWOe7MJp+rpv+UetYnzx2WaED3cxJ4x0OmMp2jSc+9ngtLtjDD+gt/
tkoz7qF6a5NCVJkN88P6EnBFfOr0yY15mikRklYWI7WcpxmSz/7MaqrvhCWr0CqXZstkMGwrb8E/
PFOaYp5nTK/IUdvSelt9UtpyiVDUvT4opC8bxGpsA6oHlNg6o5M3TRMwYv6wQD5wodd0U4w0lA4+
Ezs09tvENyVxVMycQiI6BwdtqXrZSWToIEfBCUYIZehRdxz6dD36JVVJyMqy7p7U5BFQVAys4bHx
svKLT3PLzPecxMZhpNa1mtOh4E3sMpGuZAK1azqrcRtKHyxqTV5Eko/6uOp+j7z+2TUcmeEEIChy
YR1baf+5MstvddSgwZ1lV5bHFJsfXSnc9W07MaZMoMzy3qIH12rRnpHLhU1jKS31Ol8u5+bHXUjr
wxXts/rcd5FkcGJrnIZtRcATJLMaKU/NHB56U50Vff/Vdukld4ZbftG0d4bSegik07Twl34krVNK
AmakTL0wZuTLXYXMY0Y2yta9nRMGjcdaXn9RinLmG/SOq3QAtwm8ei2gMzwoyHpG6sTprWUHKCLJ
E34hn+syXA59s2hsIgOgk8DY0PNJLYZ0qpkfOHdJSPtyVfqnbe4gk1oEzqJPTFQDI9KWhXwOuOOx
6nQOAcNIvYWIqO7M0GE8o/V6jZoXZDAVDWu16/jdMpUogZyrysembC+4PM+qUL+RAw82wVCejpFl
Mj6ZzvWIUyiDcSmQ/16gdfLJaNxnZqrYnS2iA44HeZvBJ4LgfioVxkrXkktXpozgI+gXBuSB7ACJ
c70566z0pJdockiieKp7NvMMaLGb9orMBAkZeelYzSU8ii+ymq9dcqtIlFnzKIyxf30qMfSQXWsM
ykyDsbzQZYJHL1wJacQ8aM9dc7yB98BcWn3lqs1xWbQTMLCIzxMTjqO6MM1yrknKGiZEO6tQ5MYK
awvHqE+Qb1jYyFBMHW6rRS5/o3OQaTy1+aqhSDpFB0NbMyV7qQhZTM+7Ukb71LGHlnE0SCHm2B3L
ZoRADEkA5v64OkiBkE41GtTM+0stlhZRPFyqjv0djWyIIDlCoCgclLYE06JIpx10+KHOL2vLvu0D
hh8TA63TPjGceR+q8V2kuQOjse33sGpO/F7+HDcpkWx26jvAZpsyuKbqATim/G54jHA1Sn7u93QJ
hONtpKhMyrTRZyzwvEqNq1JyGfKVnXvJLL/0RX8CSRC4UJNYpCSIUxWm75Gk9HuEQTrvRK9FGU4f
1m5BKgIkTQHAFFHt6HMbSx1ZC8A8C2msu6nd2/NYDtaqEVGq65Jx1mf+k06b9Gxos56hOuXBGccL
pWTMlnDBm3l03sMKCRFCLb5bkE+nTk27TWBhLoc+nZFE+5KF6mWWqNfAkJBcynRmXapHrrjkJEV5
YrioTBjxKvarZA5xkhrpbT9In/M+u4kDwt8u1WZ5TPXLHrqLNoKuy1zVpzHNqRg2YXNVQrGZGyTQ
VrpA/ZoURxEfUlAO+x8afVTRO/Z3wwQJWSCeqOyppqEIWRjrl4RsVdiKPjiac6F8SiZ3xqK9LKZU
cabOw811dZYdB/NsWq+CU2PJmPIqW/jHBuqyZ/7y3wHuJsAVHSi/D3Bvnv2HXQGu+KkfAS5gMZ1S
IP0Or1TVH4kT7QhAOj0SpNJJn4gkzStYTD7SydrbNv3dFmLzGmHpa4BLTgUUqyWjOWTxQ3+mcGco
hMpvd5DQ3haJGJhiNnlt6go/p/TTmH0V8zEuWsePqlmoAWg3ZBSIU+m4ib25UiOTZggSids2a2Th
iB0TZpmV1jmujcic5uSFFl7IJKmUUXUKEzgaShAzs5PMwyZ/9NReoU5cNz3lLDNrpJkmNZ8rxlyv
B3Sol2ZpuuT5BirtvUWWFxBBzpjTGReAZmJ4Ko3UlvKtdqvvstvUq7xLkbIOocUzNhXNQctcD0p/
Bc7EvCq4LFLL7yBXximNSghzTGJHZOsbWGcD3eMUOJO53UcQ4htppYSWOw9JZ6IlFzwpqdojTtyS
LKrTsMUg4Smp/sLq1phbidxUuXDVkF6tJuXP4F2vLEabJzlvPwYxcrmWDOLEocdiJNqBSiSAK1pH
toJekMznoqmu6pJiRp2qDzVTgiem5+aTrG4NJnXC68yoppGZnbSSjOcyNaaikmJYjj4ch7KBgNkQ
nZXIj87Rt73Nx+qTU5YryG/22ijGy7KLhhnhyhfq+I9ZmZ0XmI5JqfjHoFEvjdq98VoGvzvki1uE
wMtcX8uNc2agcDFD8cNEYVq3KJBnd2EXHyOmfd+HNbrLjvS992ymJWtnEcTtVyN1nvPUKtaKTpwa
prC/U5NlaWNiAc33/NMgQFI8Yqj6q5pml/YQfqYVIZl0CZ4UudIeJUSnI4xlEm+sqi9mW93bJgAx
Xc3mEePouGAE3sDdfc40lNITmVp4b5verJL7m4xffbyhSgUtqifpCCDfjKVs6unNZS4wVLIAUpWQ
qfS8vmshVSXkuBaupjzlAmLlC5xV6qqEKgCuvNRqF6aAXjEF7vH2ar9sZHKI8oaOFSjgDHJdW0sC
neXZiCZodsZBgKs1wNfS4WxpArjlIKM+V8IqmjVm9b1LIdJUMkKKnP18mgtoVzBaSMe7zsSChQc0
iTPi9vDzW4H7cpUCbUJqYx0kMK8l6PTt/kKDEabCCiNQuTAjGx26YNGoa1or3O7M4ZlwQz7lBbgx
E+5YlJhfLCe5AAgX0/AQDjMXRlnE4BeYiOcqre8Y1ZRJ09flJAtzZ15ZTjnNHEoSdUj9JMrPVLVZ
VlJyW0FFiwrvtCaKXCnw0gKVWAN+mt505A9JJ07Kvr9IYnU8tuX43ge/Zpjw30y5s9ZhYZ2qTnIe
gGqLBbON1iiV3poIMXmTUo7nw3YD8BasG3BvKtg3quX3seDA2YIIZ4KG0y3jS1NWF6pgxvkI9816
wZFjXg+2hmDL+YIyJzX10tO5zIHpJFAERdeZ7hdE5lNCLqYwofVjevg57gOMWdQxuhXR2h3L50Jw
7nDxogVKXcmCgedzY0VVhzCyBZCnAsqrO64VmmDncUvWmVwszVUEWI9hmRMd0F7g+9YElrvGti5m
MjC+ESifKwQ0oXsgC8GkH2lG5RoxI/SsYJB4WnqlCrof4R5Zp2ZZC+5fkdouk1TtVUlziwsasPUr
cnOCFZjbx4GgB7pWchWDE+ytQDr2AQwGgjQo1/2xCXqw9WJoe71qCN3FeGqmXTSPBatwlP2zUdAL
EbvoZ1IZf/dG96bIPXpBFEIZTVAPez98KnNiswweoizIiGTb1WlqQkvsPGlc1QAULYF4GovxaqBj
ay4JymLkeJ96LZg3Ar8IhhFWS7vQ8/KYMrWPF/A9suBACzTusdPYzIyFmwx3CUk2KMoPRdUHy15l
TN0G/2g2ya0KDnJElEFoos31Vl+UACPbzD4JAEiGlQs3hU2EJpgJAgXM5GApjyPYScPDZveAKNGV
nBdK+Uz8dVYDqmT6eW4JcmU1QNXVlPvMTmduRAq8py+KqtbKAnope/VCb9kEMvZIUDFRRrNnpEri
aT9YNznozFE3nqMaQxloZjanTrvicPeTGgKNQnkKXIlzUToQsVS9I5AGFmzHyIVaAibVqkxXcrUt
GdQlaTpmS3nwHvCd5TwL/IaJO5oyZJJKF7ZNTxZyceqyrMq7IFI+GSkyTdno3CpWfR9CPpiU2IVJ
BXFzghw6o2W9Ak7T/kZev1+WTsldM/tWhgWFODt7qii2IQFLfS31tfEc3QZj5ubFJT6PjAx/1+Xg
ZxwuSmTCCdWlbO4kzZNrRsgsW8WT5qcXYeggyiK53C7RRVIglUx0b2DoKnPamdfXOiCahlJ/jQVz
bYOBE5lTlgeQNekRyBpvNUDPnlvYSZSYgIqmn4Zs9JeBFH6NLAAiiLFRvWHox42WxBH8Dtz2k2Ig
i1q0XNFHyVrntY8rTmlhJPNv0RU5IhMhKdUFPZMzb0i+M2+XTe2EIj1YkUkleaeyFhAG1/l3W0qp
/OvOfQeUfS4VzLFTt0V8C4RODrhILhr3qkQ+AmteOe6ZTsLHD3RDAogBFE2uI6c4z2KIK+akDGSq
CyHpuhGemlP422mEf7fHGFxcfh9H3zffdqSJxc/8FEUT8CJ6SRp22xb8d5oYVSWYE9A5yBW/bYxx
+BuH3LK4IGlIGlCZfI2i7SOHG5MCbQx4jP2HUbQmi/Li23sYRRdKf7plMTvKjPnbKDquy1qms0u+
qMPsDu9jLM1Ik05UWEETx1byKwPChMhIOOd9BOcoo5WDwV79uMwM6KQpni/QHeO0JGyZ6HYkxGrM
Zds1n2K7z8/KUZrmLVFhbT8qLYo+yMavyEK7KLl0a8e1F4FFB3IeeMtGwONTR0QeHcLOabnSAz+9
KTwPXeA8fzQZWM+a/LZU0LrVmQOfmF7xGA/oymeVjtvsulWf9/3UGzM/vZI1e6mEun4paeaJC0t1
XneyO006iRFQRcAu4uJycOsHq/Ee3cTuFmgPy3MPBbs1UFFg/5l0TZtdfOnQM0H4Ta8wwAnyRAiz
zNzA1Kc4GDqk3YEoRy/npaM9VYF55RvFuV0HND340V2gajd15uQzKVSf84gI0h2925KWoKCo1g1w
VJojlRXphCdZjlLqPD6UHui/MlqSpnqfpN5JODo3Cr0sE2MkHVyq8k1uhSoBqH5c+3k9jV0Xpbka
abqmgpdmVXeogJIZYyAfLiEkVV2+xKgr4L6Cq8BpFcCsAEaOhwHs1kANSaaWJFNTssfgpBVFJi2s
roG74h0MmUGKMqmmFjWpkGgVvx4jeE/5oJAkUo8plz3o+nVcRTTKoBEUpJV94aj5sIxTW520ZrhW
6Eyi1698VotWnjij5V1JTSQT4xiPDgjL82JQv8eZMWCnzEye0Z3onCN3zexmWkY0sQAOYYg7WqRx
mh97UXbh0wEOGtG+oJmZENJE2dMbMghqdEtXSnbclOo5MpjptKGXGYU9+pSUhr5wxQB80LekwpXm
q5n7n6OIBuqyIapV/XQ2qrSNVx6LG6fcC8iVf7YoqSpu9i2hZ6VRNP1YT6Urxc6/6z65JZ+Qu+jt
aRqZ5VSuS21txsU6N5PjvjbgN2gXgxJd6FojFPBIbcpZ+EXu3FsjQQ0I+wweTbJuy9qD8aSop26u
woexIWYRfaDKJMvXyVAfy12wLKLwOghQJm/ie3Bp39BmzqZKBCR7qNpzu4yaGU3OhMdyembYLK6h
S8dcbJhGkUWjPBreVDStU1qXHm111GZVPXzJNUghrcIwbTXSxVaPIJbAGUXuKFMskM+7uPvms9Zz
U8tdoqqgmGRqfqel+ZlDAs20s0WI7i0kH/exlruFVdICIMVdMe2tLJtGYQMfKSq4iQHfSgfjqRZ1
iYIqfWKHp4VbqtMgT6IpyDxoM9VXOyxOKHDcKtH4WYHVxefDP4tGs845K0VzKh945o1tB0gmAkrQ
IzY4yteVo30daie/QOo2ngawXY+laJDWWcKVMaWC3kZ0rSGg6+fRtW2mBiMEOjl4XXOrtWvxlLH0
jVVi6XMQfQ25BCnmrqJehbKaTmw0jUHUVONEyqwIbTQ28WDHLZ24FtdjkfntsnjG/APRmddfhapM
ucyQH2GYv4xk/n/gZ18+4k4S/o/RFvG3lxmUvpvsHS7/f/WPXltpdj/oj9D677RcNx9sA/f/x+fE
DzWzn08ME2kq0tkQmzaEnjhDpHj755KiWEcKaTEcseFsXpsg4acl+t0i/PP3u34nOvD+Of/42Z83
Agbrp//8D2WTBVRJmr2JXv58DZwjBjIoIcuGvHlRR36zFAxSETBCEnG2kdLhLYJMDnLPRbBFrZ+E
p02m8+23l2kU27RtoZnJa/tW/8dr8HPjgsEG/Re+Pl/z72NgHYksMArx2+8ovuSbRQCCC4wbkgxj
agd9Gigy7LkRTJi+JtlrUL+b147TYBr0INElvHmv/+OdwId4axJA1Pwr24HnvNkPNnoiJN2RpBYv
jMyb/aAyQAkW2DrQNaD4tP9GsNkI9HKhRvfrl1ewCLT3wLY5yB0A1v3X0tCfO4XNHCxFO8RbNq8d
FsExqQ6pFoLB4nWgSyGQB3taBADg5N/4ntytxUsclZ9DBQ6DoxgKzcQH6x+3pmoLafgReP1RoOQc
UYmjYZMoYPNikOftIihHNLuRXlAP9VAY+y+CeaRpMsxaxCY3rx2HgqYG22ZK6kCPw7ui8R9bBl0+
YtbLZOrlJRTg5L/dCfgGDRq+KRaK16HuB31vy4DGlmCO2WTwtodix1IwjmYaTKYd6H4Q2cI9zSN+
0uFLMmCx2zIQO1q86CkltOa9Di1gMtBA+4BFQLtet0Xc+Lrpfz0U5PHp2X15r8NbBHm7RffxEfYR
MnWqQu/HdhHeOUr0Mmx6Q8imHOhO0PbfCdYRZXNKATStbF/vzaOuylgN7VBDJjGgtKdNcI4cihpg
t198xLv7g3zk0CPPQPDWCB/gcdgaq32OA3kVsdmxjL85DipzazZdLy+e6AAXYW8XqTHzoHASELvZ
7R0InsmpM2ChEFEepHeQ98+w2UcWw4cchxeT8C5OIMfkOPiPjQz04YZM8t7mUYRMzMRYqtgU4vXO
MuicGl0js7AN1w/wUGw36j6WwRRxo2mAD9guwq/7QYRMNo0oXCQO9VBsndc+i8CNktl54Phsql9j
JWZ5FeZlD3ULvCOU/fEtCs6YRsKZlMLLOdhxnxYXSbLuh7oFlL3DBK6SomVC199vAZ3qi8LiMCe3
eR3oMVC2l9t9jgEVKKpPBhmmbZTwa75ZMY64QWIrqE6I16Fep5WPSK/QbI5RIOv6+lt/YxgUccFw
TJODcaj7Yf9LlHEEnFbk2ba/7l2lGBFRwR/cxiWH5yDFIOp+9weiBN2RuR6gaLR5vXMR8hE8BzIO
yva9Dm8RlP3vD2QbuUrDk3ipQO+IEmCTQ6oQgxMHGTq/xPT7mEfziJQCkYD1con6NeWqAv8wuUBs
+JmHuQj7B82M3JBeYwpm6yJEquaNYWQRYBZzozYPdidsP9g+O0EH5aKqmv16HH6NmPAOIF0JqijV
HLKjfLnY7LMUBI8yFDbIalvz+OtSsB/ABTishH7QSyG6XvfzFMTRTJzRwUOT7eb1binUI0bUOBhC
o+sg7YMQB9tzETRiSLIHtvm7FLwFlAIOvnmw0eNL1XCfQ+EcKeLrWzD/Xzf9WyOpkVmwkEgWOYeD
3AlilHLvneDYMmiSl+DxffSI6RA95wCxD3QR1P0DJxwB1aYf1vFdjon0CpLZNg32h7oI+v42wSIk
ADdjmL/rWqCrj/leErOHahhfCiT72IRNFwtzD69NnJz8tzaBWrVKlsV5yegc3j1CpEb2tAkcB6Hh
zj1haxjfRY8sAsGjAOUdqE0QsvZ7LgLwfoMSLVeJbZzw62WKJlfofDLZqO2CH+BO2D9Ygk0FMYpI
4aV/5d1OwCaAm1fgym9fh7of9s812UfwKRwuji/ta+8sg0hBiP/IxYjXoabdhJDankeDXCtlSDrd
XzzFr7uCVngV88DOOdTtsP/lkmsElwgd2udvbCRiIg6pGMfZ5iEOdTsYH7EdIMoxDfC7iq2IntAa
l035UAMHY+84WlQmSL6xJV4SkO/MAz2feEyF6v6hHor9Q0iDuEA1Gf2goUW8+KpvoyfSTlw06Pk8
VMug712j0vQjbILIH/y+Vms6DIixFQ7aZ75TAfjzmiW5WIvGTlD922/KDnu7H2ho4V5Fe+yhxlD6
3oEkloFGRibDtN81uUENtXGonJwDtQzviNt/vhOo3TPWTnV2GxztSkjzlxwbOh5fLAdByuHF1O9m
//+VpWAoivIs2YTNi9D07aGgMZ7JAJs9c6D74aVZfb97tmMTIxIfbRdhh6dgtyioSR7qIghO755x
tH0EKdTkqv2yE36No2l1Y9gUEIOYMTzI46Dvf8UkC6upKk3AL+7ynY8AiSFapf9omPR/YTh+zB5P
/SB+2owmw43ajLhsZ27/x3/wOrj7/gE/Tdhthi3f/MubIX/ePns7hyf+/78enpBwmQVVXQaPtbox
fD/97ash3LzTy8+/fMX3b/7mzV6/1+sfrpBHeCgfARFsxoJfPuhWKPG/Y/QSnx52zwf+/Wn+8z/e
ftifjsE/Px1MzvOvDxfW/vXPxBf7Vx+ePDxl5euD/h52FhHo3p98Asx61wfHcO/97OlD/NDyK6le
n/XTZ8cc7P/8LG6qd79SVh2L8gEPT+sSac2sqne9BX1oe7/F7Dn+6zwrd64/4dLez5/Hf82yks3z
+qyf1h8Dv/fzFyUsul0Px8zt/fBl/Jymr8/56YNjlPd+9qpJvmXxU/36qL8fL9r49n78Osmfy+Ah
fn3UT4//iCO7Tocdiy46zvb+5CfP5Y41F21F+z86SL0dhkB0Bu397NOHaIcNE+3CH/DoqnretSYf
cUBPs+qv/0695/h518p8xBE9e3jCAL+uw08b8SOO6NlDGexamo84ouLZebbLuotx7r1/rWfP6VP2
GOyyXqL4/gHPLx+fn14f9Pe6i3aX/R+e8dlfn/PTsz/imJ4hBbLj0R9xSnl0/Vw+Dzse/xEn9fwh
37HRRd5h7wU/f24f3seOkAU+4ohelA+YgNdP+dOv8yOO6GX88Pi8I3YUOcq9l+UybpJdwZ0Ymdv7
4dcBoWMVPO1YGdEZsvfzPz08llwJ0nrHdtc+4pQizf7X5DkNdr7BRxzV7RuU6UP5tNOQiWLYByxT
+tcsePZ2rdJHnFrxJRacgMegetz1Hh9xfMV7HGcPRbPLW2kfcYbFO5w2QfXXxbegynd9j484zOJd
zh7q513P/4jzzPPrh78mD+W3h10xgygffMR+4j2m8e53+JiDLb4FEMPfSfhukgN73Mc/+Q8774Qi
nb7/+vyTxOPenzyoomDImtfP+bezEXNV+3/2LH7YFT2IJpIPePg/aJTtvTD1A4p38UNTvX7Sn5bm
Q46uSLPs8MMix7j30vyjusW+S3NDjB/UO4I2UVfe/6M3WIIdLl4MO37Aw0kQJbvyciLJv/fjP/OE
ZpehFG0Hez/9Pot32HlB8tr/0b+nOP/zbtmVlv1RyHqfrH3FO+76sbe5aPEvHuPnh/K//h8AAAD/
/w==</cx:binary>
              </cx:geoCache>
            </cx:geography>
          </cx:layoutPr>
          <cx:valueColors>
            <cx:minColor>
              <a:schemeClr val="accent4">
                <a:lumMod val="20000"/>
                <a:lumOff val="80000"/>
              </a:schemeClr>
            </cx:minColor>
            <cx:maxColor>
              <a:schemeClr val="accent4">
                <a:lumMod val="75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solidFill>
              <a:schemeClr val="bg1">
                <a:lumMod val="85000"/>
              </a:schemeClr>
            </a:solidFill>
          </cx:spPr>
        </cx:plotSurface>
        <cx:series layoutId="regionMap" uniqueId="{B9CAE466-2408-442A-82B5-561257476AEE}">
          <cx:tx>
            <cx:txData>
              <cx:f>_xlchart.v5.2</cx:f>
              <cx:v>Sum of Amount</cx:v>
            </cx:txData>
          </cx:tx>
          <cx:spPr>
            <a:solidFill>
              <a:srgbClr val="92D050"/>
            </a:solidFill>
            <a:ln>
              <a:noFill/>
            </a:ln>
          </cx:spPr>
          <cx:dataId val="0"/>
          <cx:layoutPr>
            <cx:geography cultureLanguage="en-US" cultureRegion="IN" attribution="Powered by Bing">
              <cx:geoCache provider="{E9337A44-BEBE-4D9F-B70C-5C5E7DAFC167}">
                <cx:binary>3H1pc9u40u5fSeXzpYdYCICnzpyqA1KS5T2xk0zmC0uxNdwJEuD+628rdjKWLOWlq8Z13yvNWSaR
GmrxQe+Nxr/v+3/dZ+uVftfnWWH+dd///j6q6/Jfv/1m7qN1vjIneXyvlVF/1Sf3Kv9N/fVXfL/+
7UGvurgIf8M2or/dRytdr/v3//k3rBau1YW6X9WxKj40az18XJsmq80v3tv71rvVQx4XfmxqHd/X
6Pf33iqL/1K6iFfvt9/Dv7/319m7KwU8vPNUU9TD+3froo7r4W4o17+/31oJv3/32+4XvmDuXQb8
180DEFN0wh3KOUbC/f7i799lqgif3rYQpifYpoQzDEs/fu3VKgfKVzH1naXVw4NeGwM/7/v/71ti
67fAQ/nvlIdxv3koGyRCAOX395+KuF4/vLutV/XavH8XG/X9qenBU5tf/On2+yP6bRvL//x75y/g
oe38zTO4d5/w//TWu1+zuPWrN3sBfvZBhF8JMOEn2KGMuci1v7/QDsDIPWGIY44oetwBP777Eebn
+/IwT/vxfU679Rsff+KvH8r/Cty2uP4fpPS/GcjFw+qfl1GAUNhUYMHIARnFJ5hjCjK6jd0rONoP
4O4CW49jv3jukhwdyGVcvIEeJuKEucRhyKGPGIuXYsrh5Tic7oI8laNDGG/RT4J4i+LIEL5d3WsQ
5KJWbyDJ4sThgDMV9gFJRifU3fxD6A9l/ah0H5Xx63jbj/eeNSZgvofqyHCXTf0WDhZxTxyEAc5D
go3RiQMGGiEMlvk52JMZ2o/zNvkEiLcJjgzd/+arB6XfRKIJGF4bC1DL246zfQJuNXaJ/eh47aA7
naH98O7QT8B3h+LIAL5dFfXqnZetNPzvPx0lgQdGAGbA8ilK2rXOIMRCCEQd6mwL8SvZ2o/1vkUm
AL6P7MhQhwhj1a71yrwB5uIEuQwjzPlj4ATO9a6AM7DjoNvZNuavYmo/4i+XmID3S6JjQ1tljXkL
8XYhxwFAgvd9AGp8YtuCMHdXvL3JHB3AeZt+CsjbFEeHMGRyNgibjTL/x9W4OLE3eS5C+P4gC+MT
BM65wxEo+Oe+mKdex9chtPesMgnzPXRHhvwse+crDU7am8DOscsc/JQ+cd2Xmhw2BALg2b6o61Ws
7Uf+5RITYH9JdGSYg4Pyzo/X4Vtgjk84crjj4l1XDfETxIhAgjiPSmBb0l/F036wXy4xAeyXREcG
9hxy/8VbIM1OOEHMcdBT/npXuiHBzYUD/6Ad33w6R/tx3qGfAPIOxZEhfKdjKL0M/7wCpxBKE8xB
nNmBtBk+cSHDgsCD25bmV7C0H+PdBSaAvEtyZCgvsnVR/PMYb/JkGCB0MURT23EWOGWuQJw4O+WN
yZzsh3abfAKw2wRHBuvG/si1Llb6IX4TNU1PEIRQYHbJY4xFdmAGu4xBiF0O+vu56/16xvbDfWCd
CbgfoDyyDXDa5N9U9lD/86K9Ud+CIUpfijZsCoYgq4af8mrb0L+Gpf2gv1hhAtwvaI4M6KtV+Tax
NXahCA1ljP3yDbE1oAxWWuyo8an87Ed4i3oCulufPzJkL9f6HjpfvH88bwLpb5u5TLBD6W/7hArk
csT3li2n87Uf4x36CSjvUBwZzsu8XOt4lb0B0hA2Q8jsUHJAipFz4kCs5SCoeW1eO/72azjbj/WL
FSag/YLmyPDeOCAXTWzeXX+LTfkWMbQDuhkz5EJjwg9Yt31w+4QB4FCk3uOdvZK1/bgf+o0T4D9E
emS7YFkMbwE9g+YyDKEXf2o8epE+2dTBXMagvrntnU3lZz/eW9QTQN76/JEhew5x1xvocueE8O+N
J4+qeqOrt4QaEmObcgiC1Mo2slP52Y/sFvUEZLc+f2zIQhP5W9Sm2QmABt42fcphvxBaaOqF98AZ
34V2KkMHsN0inwLuFsGRoXuxSt+iFRTEEvwvbkO7yffXi8YDyHYiBzHBdxoPpvKzH9st6gnQbn3+
6JA1Zv0GOhlSIRRafIWLH6G1d7NgGBwteJsKtiO4F6upHB1Cd4t+Er5bFEeG8McY+oZM/PAWAkxO
XGE7hDzZ3ZeGF+Jp6CoC5bzjTb+Kqf04v1xiAtQviY4M7Qtl3v23CNfZ+i2sMT2xHYyJ+GGNX5Sc
xQmmmwZCUOqb107Q/Erm9uO+b5EJyO8jOzLsL1cP0CH4Bv41O4H+QKhK8aeusV3/GnS5zaCdCA5W
bfvX0znaj/UO/QSYdyiODOHHAg3Unt8oPnbwpoX/gKsNrb/UxjbUN3a8sddxtR/pPWtMQHsP1ZEh
frmCXoM3EGl+4nIKfQb2U6vYriaHIoYDNUzG3Z1kyGSG9uO8TT4B4m2CI0S3VG/S6cuhUEFBY4sn
B3xXZ0NOxGWUCwzh1/fXrubW8VTODiO9tcJEsLdojg3vdfGg7t+m7cA9QZvEJudPBY1dwDGB3m/O
CHF3Aq7L1zB1AOsXS0wB+wXRsaGtAOx/XnfDJAPq2i4kvZ6axF70EdknDoWz8JDw3BHqqQwdQHmL
fArCWwRHhi6MXShik62atwi0OCRHbGgEY4cyYwjOaWxCLb5jnl/H1X6c96wxAew9VEeG+KV6k34x
iJnhsPvPloONet6tXmAshAuGelecp/GzH+WtXzMB363PHx+y9Vqv36Cjl7ATxhnnxH46XPciD4pO
mMMoI7szLeB5T+bpIMLbK0xDeZvmyJD+DB2XzZskSWB8kIC+T/vQkStwuOGMNLKZvaOyX8HSfpx3
F5gA8y7JkaF8tW5XbzKgBjBkmAPKT5mwPdJsQ3MJ+F47OZLpHO3HeId+AsQ7FEeG8E22ul+/zZgD
sLSbI3JPU6T2Icw3XWP4MWzescnT+dqP8w79BJx3KI4M52u9gmrGPx9EEQL9f4CyYIfGEMEsKgdG
WrDdIsZ0jvYjvEM/AeEdiiND+CZrYDrhGyAMCS7COByGfTout+tXQ9UCys8QR5Od43LTOdqP8A79
BIR3KI4M4U2Wfg5yfB+be/UjhPkHRjrCsBIObZwcGvZ+6uKtyAmS2BQGWzqC7GjpLY6mbL39QO9f
ZgLe+wmPDPavzbe3KEZu8pwI+rIhHv7+etE0BGOmoGFIQEj1Y689zhSbys9+rLeoJ0C89fkjQ3az
fc/UqmreqjQFhSmKQXS/v/Z4YNiFjkDXfXTCd5oMXsncfrT3LTIB9H1kR4j9JQycfYsK9PeaFYfp
U08V6BcWG05WYRg+5dI9mE9m6jDi20tMxHub6PjQhvk0cqW/vc24Mbox0Jsq8+GRBswVhMKB90cT
v63SQd5ex95B7PcsMw3/PYRHuQc83YxTPKXXTeWG9Cj0ISBq/6hl7elDgJGD4OXtJlQeoZ/K1a9w
31pjMuhbVMeGeLQysK+9f/p4JTQFw1RfmElDDvlu+AQG1tgCjmjtCPpkjg4gvU0/BeVtimNDOF7r
N8mCw3ALZhM45v54PnZf2ze8CSpf7HfeJvN1AOdt+ik4b1McHc4mjQfVvIEsw30KBEJr/GNWO4TY
u8E3gwK2A52hO7IcT+fpEMo7K0zCeYfm2JBW2WpaOfiVFnpTnoZE6aaE+f31oq8IRkZSF8T5RVvo
ZI4OoLxNPwXjbYqjQ7hQ+RtYZZjIT4nLYKbFoRL19xFzjEJD4Y4kQ0PENI4OIbxFPwnhLYpjQ3gz
mf0tilqQMyMYw4jfpzDrhZcNTQgbKX9RtrydzNEBhLfppyC8TXFkCN+to9U0iXmdlgbPGgZVMDid
cyCQ3gylgTAaxu8/ZtV2EijT+dqP8w79BJx3KI4N5wbms79F2RLOQxN7g+HhS46wu5nQ7ux4XXeT
OTqA8Db9FIS3KY4OYZhPnb/JDTlwNkPAhDjQxgc8LhuiZIyQwC8wns7TIZR3VpiE8w7NkSH9VWVv
keyGe5A4jCKBOWG7gRNEVhyOUMLAuG13ayoj+6Hdop4A69bn/19AevhWup/3/PmrejX7fkPgs4vp
fv3u94cDdxvukD5NYtxflX6c0rh8+P09nK0gkLgAYH5ePrhZaGuO4+P1Iz+g26ZaQ2Lt9/dw2SCc
mISpFtiBMzowhQpBuqtbP70Frd0YsmSbkzsEYdgdBdyIGP3+Hvx0aAG2Qf1v5r/C5Hbw4oxqnt6C
M9YOtIzDXEkG6XT+8w7HG5UNoSp+PpSnP78rmvxGxUVtYGFsv39XPn5uw65jQzsy3KIHR0ngsjwY
KbyJ7Mr71cfNiAt4Bv9Hlc6YOkNgru2M3KXK3GLjnOfUfEj7MpFdS6Oz0JZdjuhpMgyJn6dpMA9a
1nl13wTSrspK8qFrfDVYH206jl5UciQ7WjNpRvShtissqQtrFVxFsywp0dINNZZllN1qXiRyLJSQ
SPWXVmUrmRdJ6XVja3lW7wQ+r3kyy1psSV131ZVd5HfQg+tc8nYsLhKMa6kYrmQYmHCGM76gxg2l
aFXnsSgK5aiLu6gQxM+svJS2NsuqdOaBqMOZSRGWnObrsYo+azuzZIadU0WsW2tMkQwqczmOYytH
J/wGNxEmsnKawdOqmxV6maALFJKHFm7ZJF7thqdKBaHftQ2W1dgk8ETSzC+yPvXxaMpZOSSrblSl
7Gv90NTdGarLTro2/CDdBkujxc1g8VIOxcwaL5oanfVU/OkkbKnshEp3cGzf5c6FDvVNnPe9pK0o
perRdcp0JkO7mSFhAySEG1mHoVlyTW1pgvwjDjv6wbWi+x4XH0whmvMgI5kXowjNcaWwNLxFc8J0
MysDVc+yVCd+kHZIaltc4DhaDk1MpaMjPxHFxz41ibTHBs0qknNPmGGQzM37GbN5NQurur0Na5t4
AXK/hJZKpIrLRWUnZybld9QdV8gKi0U+pLK261nSRq6vcJTKkuhIlrQ87ewWe6yuzmCaiAH8qoVL
8sRLA1TYNyWti1sRVPDF2sgyVdcj1fex6tQSt9YNbPCVq2IldRIWZ1GK/tBVe6kjt/EtQRM/7si6
75p1y4dhbuq+lJURwSnvnW85iKhUwIqXxiydx11z6+DQnOfCPmuT5Gs5uudjhUbPUdFCddZFNQyl
NLaw53UYIKnSoJPamKs6GUF82rsoDL5VERenBXF7mVj5bTCSSPa4+VIRvkyrOjwVjjqDlF4m1cDy
uTDFkoXOJx3Z0VlbF0ymyXgLa3YXVeu0Xu8qNatDpr0iHmPZ6iKdI3cDXk8Gz2YB81FAvxiVaK8d
m0YaUxRnBje911ucy2iIK5mZrPbG3qg/QjsIT4so0jcJc1zZkcrviwHNRZN/FnhMZFhH875NkDRY
xQBQWcyCLGlmJk5jkPYaL02sIqkSFvkaN0t7FPayEtGSoyBbMOBFVowMEtRiLUVubkxSj1JVxSmt
q9PEYn6ixlomSZ14ZWYhkDRae5aNeznQiPtuaPyaokJy+BeLOjdJ6Epl2k+oT84d3ZwpMly5VN+2
vG3kaPJFZAWpLPJglEWKrtq++RQrp5DZEN3ktPmQht1nkfaXJh//MAHlMm1rUDgq+cxafEZ7+3Qw
5q4WzJZVU9jSVopIN+svUlPNuK3VPB+EkVj3l4EmH9JiyGZ9h2Ycl2e4aQo5mOYv6gR/xiG6piq5
strypkp45YnWfAsCp5dNOv6RRYZIWgkxK5L8T5NzLIMhiGSNyzsV0fPeKtWszWDX1IE7pJ9Jkzin
MWUFWUBuDs8i1Z+5Tqz853fCbtmGe1UOOg6jpyt+f/7xP3cqh/98vyT277/c3BD8958Wa7XpsTG7
H9qY8J+f+vui2Y3J/Hnr7I4hfrxm+ICV/uWbh034c1vsQG/Br6w33C3083riv+3+I9UP641gmu9m
CIYNdwU7MHAfFvxpvaGivWkOh+NbAgzAplHhyXxTyJOizTEfe3P/LFxD/Mx8YzhsDQtCN5uA2hhM
KnuN+UbwHdvW24UoH6YmMUjZEuijARfiufWuR6LKqmn6q6Ij7qztggjMAkl46qW8az8wyxnOkr4t
0pltp/XXWtH2U0pNX0njFtWXZ09vjzOxmcO1yw04JTDEC3wTuNt149Q+54YWQ5m6UdNe4apAV2E6
FoFsuGKR14OkubLtaPOVt6UVS52LuvKqRKehDEbDqQe92sWDW9f2NawRNT7OMvRpdCyBFgNzgjUa
LNTPf80xhqzmC47h0A7MLnIdDiObN97RM++HxjwCbIf6ivROGPqsH7NPLaTAybzmg3JkO/QI7AYP
hBw5G2I5pDZZ5K0ekK9bVT9EvTHIi63S8Q3cr93KOo/sVnLtpOEsVEl0kzbuWW7cyPiQk3U/m6g6
T7PO6WexsdhlrKM2X/z6V72EAbrWbZh5CpfnwrUg33/0sx/FByvsrDIzVwUokM8qFODo0BTD1iiL
pr/peu3elgHK/vj112722nNPElxI8FQ5gUunYNQAJhu2nn2tY/chLU1YXBViRFcojZqrwmgvFkH0
+dffBOLz4ptcmE/BYaQUNAeKnX1WFnQYKx2pK1HadFV1SmeLoBYDlmkZzeyqyUaP2INQXkKcLv+f
Ns2uywy/Em/GS1K4JQ0mfe9+PZRP4igs8viKV6mzypPGWaXZhgdnzM2MaaXkYAP0iy6rOnAIU8XX
deaaZecO9KJnRNse6RKVegkv8k9El5j4kRiGdQkWw7etETwrx1VUnzqEjY389dPbXBGy8/igaRLU
BjTawAXLEJhuA2WzxikcJ7AuURPkq1jXJpTISuuCSjIMRXjWRXH6LRRuedGDczxnivaxh1HL/6r5
OCpviELugYFr17Em/KF1yoif/ZpJ6rwAmVACm2jTDARtYA6HBMjz7cS0iG0d1eQyoVUZuMKv3Whc
9HVP3HndNo2n+8r+0OaD08goirinUbEwWJeLjJbYS7Mq/1hmTt5LnnXhly7J1XIwdS1Lpyo/MZMK
P6iKwGtUksQyrknSySAxxVVXWua6skYyC0PkJtIagyL3cBvlpw6rs484CW/CoSC9zBpeXdVBdVfj
3CI+eBHwIOMBg26gzThKuxPJRRY54mtgN/QsYgJdjGHful5nRzSHi9iGeGkJPeSyG8Too86x/DHp
70tT1beNbfEIIq+azwNTNUsaYHxXRahLFwG3UCzHKA2+wcA93cq4qKw/m5znflkavExVUS5R5WYP
cVsykHuSp7exG/RcthUNz3SgG2+A57BAFLvXVQcOPO10NUeoR+0sg8vEQq/tQlF5LY6CWW6I9pvS
vY4CK7R9hFR9CqYGd15hJ0yKmmd/9LkdnWPtlrcOqZ1F4yYWnhuWjyvBlJ4Zu0/GeZuKcG71vb3C
Juv+MmFZOt6Ia7uRRYjbcN7XiQLh6LrZELaNmGsVRH5Wk/y0gI9KmHOhFTzovOUyMUlieTzouOTK
6UdJ6yzwSG0V+UKzdBbSZrA/dARRPzYQ4IGnSat6TurONYue8P6CpeOYBR+arqrzXA5xNhT6IQoi
jMevprN6nkfS1aDK1T0e8qQmWjZ105T2VZ3WeQpuWFyNi9Zt6mCZ6zguZYIzdWtziyyTgZDGawCD
QA6VDd7cGOVC+EUQgD2ss7SrZiztQtvTWY2C66iyGVen6cC7yB/6zK0vmKkJ7KguUMh0XgO2cM6s
KAmuWxAdFnqVKAVsOJKafF5ksXZlVoHxCmZ9GzPPCqATz5FDYBcU7qYL8tyDQKgL5l3Gs3xmAvAK
5k4R5qMnRgc0ZoFT2nh5pK1MtmYIwWGPrTyfqTAWf1lNy2PbtxWuFzEVjbhyrCAMzgoCEbqTeEVv
qnE4NdAioKNZGUY8nwWmHau5q00Rz4eM5cOpbUxeeg4estiDqGvIFjquYssDWPEXq8xH5MMEujT3
4b+2dZ0ltmXgkRfFlyTP3XxJtFtnszSq2cexqQmZJ5bC6DzqIsMhTohwVC8C3ZbFLRhjcpaEI07n
TQkczFSdheNMoH50PZEMZXeZiwG2tgWiov0AoeZME8fJ/DAgYePzogU4Y27APynGhIzrLIXKqi+A
gdwnQx5VS2TH9DSMeco8nKYV8WMVB/7YBKkjrU6X7k0SdAn1SFwlo8zLZLTO7SCjc1QGoQPsuryc
oSEa1TKKURfOUpdGndx8TiI3dgvYPiGpvL6LrVHWfWz9qWGe8mDJGOQIX6HxeyAoWmqRuyHrcHPF
SndQfuFW9aXTFGCSQsNTIHBzAk8riCNUfB1RVkRn1ZBn/dx0zhifozqs72iCnZXTB3kgBYLNO2+K
npOZYWMMzDcoyf2MVKnxRBfMYhRXX7OuA88iCZP21jis+1bqiJy2vAuDmUgdG8tCBLCOk6mknxe6
RVdjXxL6wdQOukM1RHqyY5YRXo0G3s9anCfxqe4x7pYFxHz4Ora4+7mwq83mTJLKLHhmInPTD7QW
nl11gE3UQRDlKwNK9xwsmPuZCBt2dw5aUvuQ+erVsjZugG8S3aTpRywKly57mnTNZd3XG+czGvob
J7VYP1NdDl+t1Cbr0+O8Hhd2yjc/fsN6B/oJ+CpzdEWdAn5FUznwqKJUpaPnpi2ITpmFafyh0BxE
XjfgFYTwHuhUXBfRdYXooAtJysgGuDvdN5e5FZVGxnZT9fMeDpWT2dBWeKM0QJg8+EWgQHoXbfzk
usg/B3AX4Jlo41hIETkp7IshZKuuIMBGr5PhI6l725yH4OYm56os0uRWgLVYmMJGV5UbVl9h5her
ZESjGJ8pEbqQC4pU2PqD5lUHDu5AFiWGx+pBLme4T7PUuekbY6vTyh7a9EvH8tCc5oGV/zWM7kaH
xFUW+RAHCDKL8RCZecly94tlB/k878oQMoMU1Nygu+hjrGpz7uZp4vgO1jgEtedACN5G2P2sE6sN
ZxkuQExGKyDukhYKVescFPJwBtcogWx0G409SxwLnmjfju0MjExXnSPdYOYFbla3YGlJa4PrXSV/
ard176wB3PSz0a01eqhNMRiZI8TbZdxhWKrPUTR6tAtZuITkRtR5Vuqy+ajatr7sB57dJq2ppODm
lOZ965yOHQNwUhuZcVFmqVKXBevphVXbVM2iqsjb83DoysgTjsmjO/BEzIPtFqBGQHWaVqaR6Yx0
u1ZUYAWG6jYLKxT/gdRIBKQZwQMbPpU1sVxYzAR6FnErDc+soOy+RaFttV7GDUuXsWujD72xgnGh
m8rEs3hsYJPGuE7ITZ9mo3OVszLLZFW2NrukKKK9N4B3Y2ZdVAJqnSjiUOqR57EUxmQz1JNe+22G
hV6MooLdn9I+5P4QDLbxgtKw6kvnDOguiTTsNbB07mfY65DRKdwCgYLFpZvMRR6xTvbNVyyaTiCZ
pi3/5OCi6vzOCWt6SYNMtB+rwLgajDvs6FkZE0ATAoehv4hJnaoLrsuI3ODeztgy6JULv6vvrfAy
1VbZ+bkJQGeAN9bUl1kWAP/aTcO5iUQa+V1v28uhoiD3A+TNY0mDiF9+90qfyg83z/Pnz3MZz1Mb
U3Ikl/G9Vkb9Ve8mSbYW+l+eSfl5o83fZY1NeHy4GLIZ37aZ6PU8BfNYRNnQ/UyouHDvCvQfETiO
C6WPzaCTnwkVKHa6DoGrainkTPizcgiUSSGVAmWPv2soP8ohcPMl3MAFWQc4OkA5Zuw1+RQouuzE
RvANLoXLdOG2ECjLwr0/21FHoq0U8xFH17k90uAywrXzZ4/sSCwdXRThjbI652xsKvYni8BjPnWt
okpl11vdV5Ao89mNqLp13dgZIfZsOjUnBa+/GNKgABR7xmcsSpSksfW5xySRfThSL8M49XDPboQo
Fg3kDpuW3YXZsOrCcQXuNwUh+MiMAI+K2Quc5fE1HqBagFIGrl7gN5aG2CLRkhkr9ELdGi+0h1Va
6darOt3JBjLZ0iCI74ZRZOBtiXlWtL20Ci6k04C6DbWG7ExwWubsI22dj3nMkJ9CbDcE/dUodOhD
onlVFdVtSfCfkUiIVIHu5kWRNDLE47gQsQsBTatiD4a4f0wYv2iF+QPn6TxlRXaRa3XeRGkjqwAL
nxooEVGoZkgwE8Irx/RjC0FZRcfykkBeBWpCFAoQoughUQR6u6MtZNczE0OFo4dsUhFmF9A9Nht5
+QdhVesZZJd+Y+v1aPQAflSfzYRpTjOTLGw3P0Vp7ZecJ/PBcj1K614KjOeNqkMvSuAZVAHqvLAV
kGct4N8opI5l4arPRZQ+cDf9IGjkizK7h6TGHVM15GrrhF4ETrCMS+tDXFbgMTs88oJcBTJs2EUI
txhAeEc/RozdUZ1DNt3hD0wV5+NAPpaDsGVqCygRFZCYL9tNnSTsz4sYebXdtZKqYpHFVi8xxJHg
HrWyqYrPCTOZz1gXz1Efz1hZ3xbgdnlWF5QyssWcVry9akSooPxkRC01XdYpg2x+7vS+TpsPY9sy
6ZDoqhibVFaWTfxkaD7pIfkWtJ1zyiLdSCg9zrkWXxgWf/Ag9LBGqywPYwmRoWzs9qM1iHkVjNdZ
GoMHgOducAObVV3RtrnI3PRmHNifMdSE5kU6ornuoepA3bRe2uVwXjPYdshJLhRWvsg1MG6JLxDn
WhLMeeyhpA88S8fztEuvnDK/Jq4+h1a2m9aIStYthLohp3OLVH9Sy/IjB3/KwbGXTPGzsmXXA5R4
ZMGac8sN5mFbKT8PzJ1I+Ddm9ZeaNWsc5Hem5kvosbpI2hQt7YgziMdcA6UdwCFI8ocMdSBiY8il
6LPGLwt2DT+eybqL/qi0k0hk59c4QDeVQ+eVm36zrMATygXnI0ozmZP8pm6UuChIdM7zuvgSMVdD
GSLD0rKL7NzKGoiCoqGSgc2Yx/N81QVBOquH7AMywR+ZpQaPEKxl5NJTV4wXWVFfNij1soZ+BTds
VRNwbBz40g5/SMrYzwJ3GZX1tcnsBaStTgk4KPM4yC4bGEgkCyqK+ZAWPsUQmoCilYMTnUHYSs5j
pKEs2KeBOetbBJWXsWhljsnouxBEnKJEfIHWGCgxKnCXZBUnZl5ldr3IDXAfFkr5ZU/xxiU/s+wY
XUUgWJCZiZ3rguejdFoN4NS8/zJWRfhRI5SdJzRxFjU8glmXWdkp4tYgyxLuypShCaDW3LI6Oq0t
YiUSR/DVQ2mjuZVAaedNjPn/f2bahiz3YTMNaqfZZ6Q3VD+MNMz/5a5jw73xkMyHZALk5n4aaegQ
hg5wMM/QLEBdDAb0R9OCC/cAQKUEOtJc5/th/edNC5AQZqD0wDndNDS4r7HSmL+w0jBpHsEMag42
Gmpem9v3nucG+y4IIWIL6HU6lnxYjkzl5FsbkTq4hmiA5PmlBdmnUxHwzLOa6HagIZUpo6Vf4MaW
KGCxhORsOmvcmvrGye1Tu0sTX/REe02rVmgYQ69x4tVYmd7PCWTvtWHnoAchGAuSm6QCFzgM6lmZ
GyrB0sUzMYz2aewy46dg7CFTlbays/J2Fuk68yNWnzdF6UrE4y8tYh9iUixYlmtP9X7Rjou4qjvZ
2jkYhkR9GKFUqZhaGmocGWcKMgw12HYXAgMZ63HlJvoDY5UN9z5iBjVKfIPtGqSdjmoOsXfh4yBT
kPaq/iJBuGqSpvZyi4OCWXc9dnxI/c1ai4R+lheXPaZfyiKEarboylNqINmpSVd6aQkST5QFpQ/h
ag+1/TkZ42SG9bhuRADmsz1HbrdAHPIIpVoYYmYasnM4QS0o1DL1dEvWtQu52A5KsqAd8UguimE8
HR3I2TVhAPqN116bx3eiyQo/y8rTHMomvfq/7H3Jctw22+6tnBtgCiTAaflzaPagbk2WLGnD8iQA
HEASnEBe/XkoR1/s+Ev+yuIsTlWclUtptbtJvsMzofhQhVYyDOq21eQkrBGdVWJldOvbCZd0rBlg
fiO1ygbLDnaB1x5tt/6segFlg59fkSm8AoCjYlblyjsGKKW3tiFt/lLoijtpTxuubq11WNqsttUC
BUVJnpa1CJvIm8ovjkt3RmByks74JezFzndCHs8BfizH+VvH7D4uehNG9WT2wyIuTOVBas1m2XWD
eJ0tT0dFsDxj/P0wrObWnuwXwPxH0qzPcirC2HN7mvqcfZWOOc6ELy+VwBwphxbAOlUgjNHpXAKa
3NW32G736MjWFeDmD4vEx2qrEdWXB9e5wUwUiPWVuW4yiqGM3NIL08FbyH71X+2iYcBqhsdpwKJe
t8xJKgBHJQ9p5loSODAQ9dZ2Ew1KK7Ya8YWX3Yous6y7YIYQp1h45lj9s5ybfYPHJlbbTAbgLGr9
foUaQWEMxVJqZoZmpK2bJbee9ECOXkvtpHCKBzcXHLCb40ONAi0AcHysmfvKL32oPJqjcvs5EgAF
xy5wI+GVr70YrtuafZr6/MqroEMol+ICQubUUjGh0YcnBQQzciid4gIIghZSRMUwzVlnsJ0OgtqR
E8JBUwbPq9+kdeUeSM+faUnb+9XyRGSJANi94z74lrg3kBaRcH7qBJOHVoSH1XSnnAftKW/6J8/k
GVaVe8vzDoIG11bY3wrifWvZeqlrvS8b3Jurt6xJa6sxAQFwN01NVgIz4aPMdCHCtDShivD0eC/9
1B+EU4x3eTAJYPbVrjbzyRv6Mv23tZFNjrelu/x1a9syGd48+r+uoG+xMO+KPNDziBbwgALgbEDm
/biCgp6H3NZxkUyAzPTN0/je3ZBAA+QMrD5cjzjwdVMC/LCDEh9CP4j1kNQLg/M/6W6/UNIQBcAG
DX4Rp6n4yLT5ubf14zx2tbfM16S50ZylS+EnP3wpv4MYP4r+8C/9gf/b3JhowXDrufiE4L3Zxrz9
QNR6s1/S0R/H654VR+k/WuQ6dG97trfzm3m69Pb3uxFgBsSV/+X94D74X95x+xf98I6OCbQE7Dxe
F+1ooXzwIYRYpnFqrD1NfzvrJoDiyW0vXunmUe/tvGLp0i43uZsOIMBS6Lm8F4OskIO3VYGla1li
95Dn0EBcuU31qALs0GgWXyerfA2N9aRWiCJth4EbYgVAar3E0Ou4EXVEkGrIASPsNHzPSi/rQUfs
kNtKd7yVTZYvRsXSSKj49IhtYiU6yh15b83YVEd5F0zTCTAGtiw5XVldjqsEArHOocjr5iFhC40W
b77N8wqEokUhDbRvMJtETuAdFBklGjw/NaEdjdR60JbNo0m9TCvAO18APl/71B76TA4sY21wFBKy
IeE1884Cj5EBrj43o7/e+wPBTqHdpVf3TSe8vdehXNuq23eesIbbtQVtik6pTXNdcXY1QLFyUfXq
osMPa1KPtPuMFfQK++TZYvVV68uDKeezDvOLRcrLsnof7Sr0sCZaYQTEZKcd+QXj31dsJ246u+xs
WnYEKJ1MZXs15HM6jsthofKGrF2s8i6RZrmaAe2NAaaCYa1JzN351E/kYzc6KWMNh9pzfXArAxge
ksCLHNWNKodsDOZLuZZol6UfmRZ6rHJAM+5MoKJ+KknEoLzqC/+hGxY0WovwnVO342Ec5yGrcqe/
DWS3XGEpdXd94GBs+xpa8zUTwV0/ajuyRTWAM9YgYupjXsmbUVn386R2wsJlaTbwQIYRNrevvhhX
NLjiFjLKNBxrUM3GTkLHS1ix3GLJE1HfTrE3s2zW046wPBm8ADgzSZqmuQeMcVPnXRfPBgAwSL/p
zizizsvtg4ZkFvzdEytVbHxXf2iJReNC6ldFsYHlYUZnFa1rXkUQ28R2OX0jMz+p0UswfhQxKtgB
hAmmXQoswJox1PIbIaczc4t959aZIW5a+eCQTH7q+2av3QmC3CFxe+sCzj1xZuuAQnG7BHyIckn6
iLIc2yx9ZLqPHTwhcVeqOVJutezL2a0OulK7VvIRKgHrWPbrh76dRbRUw0XqBmg5SYpiwm2dY8AZ
A+dTOBafgK6cm64C0lWAV5iBzkR5P9exm0/B/t+m973poZz+fdOLcNjmJ/0Vpw38l86HV7/vdW9q
Njh8t6WJurYLsff7XmcjBJGgBG3Ccn8jm/7ofC5+EiLr1vVxpsDb8vafzkd/C9AV4RhGfDlDT/lH
nQ8SlJ/6BER2NqRDLvTb6MAEMqI/9b7QuFaLqHtxscBvJu5UD2kAwOzgTUv3MmnQrtHQDcAqPcil
/RgKM7eO8rnri4elKIs0XL2JXJR2WKK6lhsSeT6Zbs0cNMun0WY2VMzcQKHtRKaaCgcVm0KmZxLI
bPIuKn27Ww9QaWneZ0NrVeI+GLCWaXfIoV+3fOJFK1+LD3VTTQ9s4IUTVyVZ7oUdgIxwikLs2rZK
V5DN/X4RoH4qd/QflT1ZY7RgSH1s6xDDJ3XbdYmZQk+Mrb5TMWbT4IaWU/tM6654ttwWdRrUH+j9
qcqvsQ3zIKqCQp7XvgvA0udrzeNAenkcNs5BcVLHNS3GMzQj9cX31HSHxVCkID0dhpVITfvRyl0g
0F3w4qjagLMcwmaFinj0oJAJpOuje1T+HfapZo3XoZb7Svvrl9qBskVwhj4TL6RzNXDT0C3aPGJ0
LJtDMNEhczUuSI+Cb03PgwTKk5ZTPqWssEeh0iIU+eqlqwPaDhr3ma5ruA8hS7PTpdU888mw3vZ6
Kl5oqPrb0O/9XVFB+QW1MhMfABFfQopaA/Ad3+aNsvhEUg5eso553owdZmooma4D6RTPZdU7H0w4
ViNwp7GEg0ERWe0JVYMfWUGbF4fO1oU51r5k8zdvDvi3EOdoZADD8l0lRdNFMnRQ1q1+iWpL+0kZ
yP4JW0WroQoCfuxBtPxv5ULl2uJW/65y/U8FIfHXX/ii7y97L1nbUVTQtyL3EWdIMrqxQu8lC0ZX
IEqIHwEU+if/zBthhJrlM0BS0O7iVX8M68hsplDAeQzw0QZgvSuQf+L//vtoCw7qTyULfRbtHlFl
PjQqKJN/KlmB4V04BgKjLZb3Y1CF7KyVOQWq6mJ31I9eXSddMZR71fjV+k00fWfdjnBNLN2K1d02
1W0oWhUNJeYJzo5NXzeAWHsZ2esCIWlpW5msJhaxVux4OYkD1EqYpFrQQuCTuYjDqVO72gcmcL/w
9jkUSxNZqLGRD8kIpPVOz46Tsdaj2yoj8ngJFnkcqzJZnNwC0KpfeahWaFhJni12gxHHLsMDHiBU
K/hPTw4MEeeAKojF5H07UtGmQb2QXWsHMpm0RRJ/ClXS0BU2m0o6kePBg6Pt8FT6ekg7bsfu4Aw7
17SXwMX0PtEm3E3VCgIqH4AdCTXv9dxf7L4P40F1z3rmV4s9p4IsidM7Z8L4aV432gX7QyTBnQNd
CeJ57MdU4QrD/mMNKd6Mv+Zz470AyJkwyridAGFhQd8kensf6vFOlPQ+KIgaD+3bkCy3eRkyuFht
E3T3Nkx7b4O1GHN/iqifs4za81REbu6+lvk4H7YMlmxUZZmstbpZiv4CXPGoKnHpiHMKBmvX9PPR
qr2kWcFNdyoiBWwjsv06K+dODuHzv8XjbezZrGh/M/a8BYD8Ou68RZO8L/rIB8UTaWPbhV4Xu/lP
tQN1IaCgoLeTVbYfvS/6ART6OIsY80dAKI5YQg17rx3Bb6gzkGm/A+PsH9WOYFt7f1RMY6BCoi2w
bOq4yJon+MA/rsUsqAsIRZ3lGn40feMXS30n7dZ/AnHoHJe5LJ8XG+rPYJjIeV7QctFARWK70/ro
h/NwDylRla2rLU9e2OSpbw06VbITadCRS1WJ8DxRO7+C40HfUjPg9RPwkGRchyAlTWv2VhAejbPC
DTAIkD0tLb9I6AWzQs15QpYVo0/bm5caVrojlkxILK2hSBxFFoDFQRtDYPMYOl0sKvppyWv/OEIL
tBtAkp9U2YQp3HIwHw1hHpsKun46NtEoyxIMNMBObLZ7HJUBB19IB709JYMTBUXxrcWzz24hEEm6
deWvftE+CwNR2ZpPsSzbI2xDYWwKVR6cNYTpDbKAG27zJ1IuRzlSvWOtunWbjqSSDFY2eHw9rnyk
RyGIn8L9drKtrj9gww4TIgTLykoxyM+cfO/ZUxBJl5fHroZDL2+m21UXKoKavopGy10jy3XTogya
yOHhBfLyEh4BfDvWaEHjNLc0qaVtX/c9WG5IOdtDJ/rj6BQvXeubqK4GteEARWrz9ih4tw5xPuGC
WbOtk8oqyS737H3BrGixNI+NO2X1UEJBuo7tp6nhxdkM7JtVNiTpCIjeGnRMMqsqBqZwD/7ltvY5
jUpjMmeqHp1iHsIrFg4QyjjV9dTZN40TPBKIAuOKAu60SGagcIj8zk3zFu/jeSVm1onxc9+7bQx5
+qmn9jfXbcZd7833k8BI1TsT/CWQlUZ1Ta59Hu5V3WQTda8KE57bmWTCxoK/Vqj8cKUBEy52K5fX
9SoHkIH1LmQ1rJnucnaXNmlL6yGgEF6uhp28HHMbFJQvtaM/09nuklAEX4zfZI27PIBqhYMub1nU
tD1WAQVV7gUa/Ab7KvXGLyxYwVNQeBV3eWOuwlm1eCpqWV7ZXgdqe1yq5tiGOU18W5sr7jny8G8x
fivG5G+lP/9TtVJ9+7UYb696H+RwKAqSfqmHUoxTNTCw/VCM3yzSLv6wN78U6uQfxRjQEnIwsK4i
6sLbmMA/ijF1cF68jxIfIiYW/qt/Msj94jcAi+jAM0Mhwse/097O6PmxGHPtz0VBg+rasrtnLrH2
rWP12V7cQ2XXKiq8Ne5hkvWxcZLJ362UX4VLd5kD3Mv5XHeHWnY1WC0r1v7o7LhLdqSh97OcnDTw
mzGe+HJFhjzxLBiBN1JGBk4bV3Z1JdyuiicLtEjZf6o9wGHYVb8Cc+zj1sKex11zMsH0FcQivIRY
OBOMxKm3TG5kL2pNyWhVoHCg8oD2boj9MRxjthDIGhq17FSz3DgL+CGHV6fRuIAn+fCEfmASiCK/
NsQ7wmTTJp0BmcOnvgQySiNXwHii/PBmDe2PU75yjFwSRVsAaqp8LKaFV8h45a2DKsDzyM8PlA+7
xYcCpoMsMXJm87gKfh58dWrz9iTwmWB0ldD8OM7dLMtk4rxOS+Wcc9v5kANHwlA41pEXAgAb+glO
jRLkI2N0X9NFxgBYPwautmKPLHzksTt1kt8PTtG+QAv8uKxsPg1Bf91SwKeQcEDw3+kXwyH4VGWG
cu5FbHQhvpoxII80dyKRB2fBnUfawZE5yvnawulNaVmOa+K4K0/XEFpbrkMrs5rxjlriq1vlTQbd
cWxDTXxqvE+D+QTJNTqO96lfaJONmmTg33mq27luHkNbqPuKgAz9Jvn6dTbibqUwPvtj28B/qkUQ
fNJ2cclxfx/IoMjeDE5z7eg8vGaQrhwX9E4WYsydfW8/QKkTEUFkLFi4XGixQuYom3rO4Nj4OKs5
8WUtztQ036DidPak4WEXaQ8E4b8b63epovu3WNvvZyn9Wui2l/2n0CHuAxFc2D4J1sU38+f7xrrV
QOBoaEFA4L4zT++FjkHiCBZ0EzQwrJPbQPpe6HCaJ2w4308Ws99+9A8KHTbfn2dOhL+59pbm6Nsu
VJXbTPoDFWMI0BOt1XhZlzLemiLfFAZB/f0G+UvOxya/LMYIJEA26JbnTByH/NmaakOR3XkFay9k
dMOHUnSWF9d+Bfofhd7VMR3UyA59n6/3hQMhPjJS2Mci8Plz2xTBUfMlPNk+UhtamCnNjYBuji4Q
GCbewv3+NJVFT18m03nBzZx307Qr7IYlE5tk5JVWdT0XFZgs2baNA2V/NU5xYHHAeLLP1ZMslzB1
MS4Q1MAvbsXmi8/a6pqNpK1iuy2rZdfkhsYVrOVW1Tcz2J65oddkst3yaqqKaz2UM0wdysBWcwOF
6je3b7+qjsOsRT74U7eHJRcku9dkDsGnsFqZhgDYwzp1TX3Il6VLaFnLpNd2Ui3dqwhQG1p2sZ32
daTTfWWjOs5MF88+Yjnghi/HMzIi9KWD2eJYSUxaYQ2scXV6QJMWfWUwr+0hegYAOnRtWk9ANGVl
uakzB2c6hJde9XOyOsGUcLk62aD8h8W2nipHdAnsiq6GrJGDqB/BkW1arDpFvCuELWz7FYOzg95U
P2gGCWbiBUrc9Xyy0hGjVBoaYp5YJRd8i04zRH056oRZekkKd73rvAE8lmXblx8Wvt/BmB95zDcj
60/7EwKlARTbUCJBpoTb+ud7uVt0xzm4xUufQkGnI/t+vQfKF3XxsFd7pDIA7U3rzE+xFkXuke1o
6uzz+Hch2V/e638aHYCmA2jCDhl6LrhVhqO0f/53uAZkDu/hR80dflwqYeKSd3nUzgwLjV+GaTfl
G3/maRnlATlzX+dHG9fIK7s6XnzEGORYqZC68DJA9L7rIVLcDUOLoJL1xQfyEBW5JeCTNh+7qoX2
QXdL7PcFTaCEckBnFTX6tUkXGmazreIiX+OOBTlm7HC/Qg+xOE7GmGtHAM83fJNBdKP2hWFAbZiO
GgItHjAXJ8d8XUKFmkwtGM26QADDhBHHQC7S8aKMesofOKQgNq3Po4GIFYgqTDK40fywY7uRFPd/
f4l/LiL4ZnFAF5JDPNRLUA9Qh//8zYarM4dtnesLmeoiQyGo8OGJii0pUrdBLgnr+Ke/f8stWeuH
Cvnre/7palpm8vVU8v4C89Wzm+vYjLxJ1t6HD2QEmZWTiHu6xdIEhK/qByhm1XK16lFEgeVeNTJ4
IlBewUNnveYl27Vdd3Ya75bk6xeXdy/1LLsEUur29O/u8bZ72H/bk09bVNGvHXl70X86MpSJPnOx
JGCsB6CDH713ZKQzIdoYrsQ39mrDid8bsodT1fEHDzbgZxwthRe9N2QXEkjsIr6Dw2ngpMZS8g8a
sv8LCoQNB78PeU+QpFDCtvvxh45s53RYytZ3L2K1qH5wQgFVHsQKtZ1g2h4hQi56R577oKRPbeOZ
LiNzdbuxxUiQghlRSzNAGO+T3IuWwOuxiTR6BfqAjTwaXZSJFF32ONMKbC0C0NbytqnLj5hP7zxb
vJjZwcpA6WXxVJcw5UrI6o2MeCc+N77wIocoZ7PSgeolFtCcMQtVUca1Uy7JTHuQX/lTG6pWnBBW
tC5JJWpuHuGI7+NajvDHurpsm0Tgt3pxMy6DOjNr8cCPFYg1kfkOWsU5xfCL4qim9rNTrC98ArM9
eHWOXqx2vZFz3NTgtQtrL6GUhN9NfSZUF1kFu1iysvpBcuuLc24V5BGsTGAWw9dTrWWcV/kHuwtu
64ak4TJlxXprD97DPPUfvYCnTOku/H/jEvr/UFiMx+OvEdkYp9i+Bc3jQIFfn0eC174/j+B0XCSU
4nx620Za7Rag8J/n0fkNIyMcQN/DzTZt1vsDGfxmAyiFYAl7OnJXtuOw3x9IaLMwBLggYjBb/2N5
MdlW/Z/mCqSq4YbG7/QQluwBWfjpiQxrfw0VIpeuq0nCfxPrriHHytjsqFakBcSFV4Nv5ogPM9ZV
oCCBKdwaat/CS4SyoC8eig+GD6cyMPcTMVdLjviwFiaAaJwDWBzlCuf48DjXmJdqenClF1EsllG3
ba/GQDw5erEBpCBXaIjqHgaYHNlHuR+aTFP6SiHZgJZioxYwyMaw0TmpLq0OQl004aIIoHuFox7C
1efFQ7JQX7ElDYelTohuPzAP2VBstJwYGSUxbVcSL/MQMQ4fjVb5xyq0k8HxkHXW94kr58/gUTGA
dHXi2v4X5BnJePLkkweXKuh170BNAPWmxODVOE8eZ1ngt2ucz3QnoAiNaF/vHW9yk6kJ9r0BHbaw
ScPCbD4vTf65HgyUbqKDcHV4liSUcc3KrCzNIUDIBpwus0bSitVEAW+/cqwZibEV6iBcGFCC0SQf
h29e7qyXvlw+ydbNT5BtIwzChbhMcC+1VGDfOb2PeRRRArHEKBk1kO5m81yebLebnoMQyoJobPSw
Q6RFvDJfpiz3m121UBJXSBZIAyDHEQ9X4AaO6s8LCUxSQjK7CxBvluSVtaBY+WGk+xJYrkTcwUJk
nirSy5MkAOmDDa53NuAe0XYiaQgswiXMGmcEfwFL2qD+RiOESkKC8TT1dX2HtaC7ERtCGWxYZbeh
ltOGX8LCi63NYqy4yt8ATgtQ56hXmEsgsco/m0BawIRdqzsoh9wChrdTIeb2gSz44rMcuT0vVhHy
VxZUY1pv9Nk8LGNaglFbamTp9RvJNm10W6/hDQf/NkDfasDHdZgRe/BzsPGHsdWNF71Rd/lG4kFm
gXSrjdjzN4qPgetjG+nXQfVVvNGA4AMRfcCjcqMI1UYWehttuLLSTpqNSvQ3UrF54xehtvO/E46g
HpuNhCw3OjJEgMLBg78BriGQlVYA2rIHf2k2IhP++sRs1Oa/U9V3RBdV76+LOVIVhm//pYrjRT9U
cUzm25lNW1nenJc/VnEIYsGv4z+M7Q5K9e9VfEuvxoF+SHX5o8C/V/Ht1Ow3Ot1133i3f8SuvbF7
f6riWwFH0BZ1IAPAbPVzFZ9a0yPeQtDr3jASr2Y6zAvrErugFJhYt2uoMyJVcvnow5eQ9Jx90TS4
GhC5lribgx1WNJYNWpyGuSGRIgqmEkhBg7UdE8j5LkbD68FC3cRNM35eQvUsJE8Rq3BXsiJTy3B0
qHPXtYi+LLoF5bjFpq5t50rVcGFxy3/oy7CJq7Ae4C3PH9BaProIzkAM4Wpiz9TXLqfX9uylYdcc
/ao7lO5KD+uElQSyniCehMkggcKW3r5CHXA3ztw9Kp5nSH/7HMgFDWB9NNATRKVTO1C+lmXksVol
tM1jYgBJ+614nO3xpTQTi0Up9s7YgOxCtYxqgbSTATGEsWzppay7Y1UyGs1av3aTsCNjNQgSrIJr
CRdfPPPuunCn9mhAV+1GiTBMv25KeN7BYoWE55feA2eFAJIVilK2vgbgkC4T87+sEl9um9fi1oHd
PBK9/ibAwJ+Lpjq4oQW7t9MumVB9cN1LU6e+P+OqjYJFmsO+WUJBD3WvEhGSCr0MXQW6Hw23PjM+
vyWc2tnaFjzquIQxT1EeIVwGLo6a8pQsVbGnFHJPS0onK8QWG7UiBMkzCClA+h+yDnI7sc0CTJf1
csfgINkxDNKprgcAKA2tU0WLK6gITutQXJfKPgwLXxNZB6/5WnhR4dcstXpJk2VcwPrl/pKhlFUp
KQRsp8xeIFvowmwoUBkLozFbO1CK1lwjBwohG3fAfYNsbF2RAmIq9oTkeTJNFcUqTq3bCgeUR/WK
T9oZz4ukR7xdwK0Bvo05iJaGt6mF6A548Ut5dPt+zrgjPixOfzOORKXwXi5RM7SfmwozhhQe4mK6
kIEiAx7O7S3ubN2+Iumol7l3iweFnJKoF6HaLyOy3RwDChIOG/vaRbOORLvCnYTvPaLaGvfBDHRa
zAxCV3+UX4F1+SB5/TydeG3tyVDsRrdK81whfBKJBVEdKg0NKq0jZHWiwxVzkOi2rmIPy8Dtapvb
wox33lyXaQ+PkYRvurog6WjYIwzjdVDr58GexG5o7TGqwkqfJYINYmq8pNKdd4CkHoYSy5+yIFfs
zrHGRxk2g5WQARLZTDgGvkg5tl8gdU391SoRDVJU4LlFl1ly+WCDo4UpiHsxmcKjgrwOmMliR+E0
QiwDsViLbCz4nngqlbKOFoMbjNKHCamXMWQ6H6DrO/qFupn9PrYs/9y7L7nvnMbGm56QFvtt9oYr
A1NrpEAIJME8zlcjUm32YTgAtNTgXnhJrhy8m8CqNU3stYNIMrbX6kxmYkdT6D+uAUhZWawB+JP6
a+8j2Au5P4cGWmVkJV5hMoJHe5uaVB3ApSLh6DWTwEi1NCaaMHzAbl0fVA9eyu+pu1sWXEK7q69H
i99XJn8hzfjcMpSHgLRT4pf6JGf7kyk9D3m6FJlRfcN39mhDKkQRfMZ0OmF5jfzVriHmm7DEzh9H
WBMS32I3oYH1uql9dcBsj/9zIAUCMqspbgeYxQuyR16EiieApgVpumuJCTYqkAkUWSZMBqO/9bkH
w9MkE0Q2ec9Q59Ru2ihzVs7wpWH+QY3uE2Ii3IOs7ajQ62e4eBHh1Jg9PnS1Ew6G5Npek8rzL6JA
lQkbC/jSHJchBs6psfdWhz117uBkgh3AkvMtspavKqdHwK2sPg9BuPcVvYDMzyzWZRzRTbimEDvY
+Lv7SQRSxr0cX3vp3yALbkinZjkMm3tt3JyJrLxF3I6FXjCCj19OYqhuaxjfbCk+VDDCCU/t/c0Z
N8IiV8khRtaJjlTe+1ENHD1HnJis4oD0BnGOTgzS9Vs+ws2GPmYtGZTvfXAj67KKuafuiNQ6/Xc2
epuNNsPrX89Gm83oapT9/7n+LGFs/HVK2l7+PiWB8oH+xLVh6iFBCD7khynJ/o3CgITDlgDUfGfE
33ddIEygiSB6JBAhwWv0A/jEfkMSJl5GAGQFb7PVPwCf8Ht+npFANME/G0K6CLIK1qefZyTtUBgR
PZ9fc5joe+ckmfhfiCAcO/LTe2x4aoAzDCDrDmAxCd74sB/xrdpuSNhWi0EgKB5JMYY74ziF3vm1
ORuUZ7CWyObJoHYsYGRoNez1Q+DeOwPMOEkwhN7Z137YQ+Scd+dRWwilg3vF686eZxHk1vXjwhPS
2v6a9jNJGwhQ2n0pkFymUYQzA713phu4PmdQTJkWrEvB5xQZ9VqMdZN3gxRGnrVIHEvGhutMWrxy
Uq6bwspUjdjue6VX8Yr8t2lHbYm+jthrYqVhtTCnAMqEv6V2y2rsWawm9H5QbQndZWe62wETCyLO
1t1q2QgFM+KJtsgrg7c0QuI4FOdheaBTl01II5ghnoJm07qMYnp0S/qhC/t7Xa5XXE2PngsNQuB1
mOUku+o0Q7xddyVEcbA5Lw+2HiWU7d5ptivU5jqIJt5kREIBT3IkBTbLUbvkuS2KJa4q34u2gqql
V+xDJa5GQz7DeokC1FL4T3O2RkFlfxNVUyVLGKZL4xXREGJv42jPu8EYN1M0X0/d0p6m3MpMXUJI
KnkGs6VOkOoT87XFuijP9ezSNKcMdlXRQqumD7mWd5vgASIz+JS5VR70uqVm9DYaj9GpFvU9dvGT
oJjsLKgYviB7qofUjM8x8qt2BtFDkbGxo0OADwJCJWC6DqbtzjMDhGgXwBJK5INBTwLZJi/ce5eB
8KeGjXsEYruon6GDWAhkTZNlOHceouZ5qA9TaZasqcg34CNf7doNMo3MuhMNa+ThidKVt60KakyD
TLqw49RwctvWMSwLG5WWfCktAR+6dRls/2EQVlYJwLHBotP8/7J3ZsuNW2mXfZV6ATgwHgCXTYIz
KVHzcINQSkrMM3AwPH0vKDtdyrSdbsffNx3hi3JURVmiSAI437D32gnjEQPwY+ZcyTxfu7HuxbW/
ajRlmYk+2fapvnHYr3mVwQdv5fa2UeWDNsGmLi3qaNd9xtZwKtTWoA4Y9laqnid+qdRyGHbhYjI1
KkTlRW+0d0UZdoU5HQ0aYuoBTuzCmfaQGJy1FSNKsK27amIvxvBFMtXpWqc9mFlyBMl3ZjmqcYYk
YuEn7hM26SeAd65X99rRNXPsz+ZlFW5HTq8l2hAUIrCbAHfcOkNzZyZyNQTJ4FlhcDYlohA1QuOc
yejQFskOp2W6mKR2XyrhreNkdyCuYbz0azsovwLj2leusocKOTF8EPsqdjepoMt37MYzCg30ZWe2
12Yf73l/BytWn40OOsRopNHCLVB76UYZX2TmkGwHJdOfit6xHxtmM+xuxtEHEeIn14NvN4uBo3ll
gr/kMG9Dr1KQ8cbpjIFhBLKodMTMPbfFUZZWdIGbHjRFCqG/WXalmO8wJpeM6dxWIrH0nS8TI2Qg
JOJeaSgHZSMuoGL6YNJLFCymix8+NGaBYJceRrbPy0C3rluVJtKoKCoCWRJ8oMUHqoKbrExoZHqk
QRKI7hoU4KMQNzHfvFd1yuTZQ5NjZE/FyS9DPuyJDV0iii9mEMcLUY0htxxcUdO6VYOSTV08Jptg
DI4xBQ7UYv8qaYsv3eCyHKS6jJnz+Ip64wu+ZaN8broE10q8lXH71a77y9Sa4nXgA+Y3+vQJy/I6
FPbzjB7sHOo5k5oQ0VNcUmfmDl3OeGx8sAKodGIYR3Glv2WiHTZlZXlxLp+k4W+Au5eMPrvnpmUn
VvM1Jz2jf/tBy5t7YIUPllZkC3eIb4Z0POZuv20rvJFKHz8E4biLem7RYThJP9sEmc/oMxXXbTtd
Wo14GkLrooC06JjyoZ81gD1gfXuSa3CYPCzUGpGou8pF8jxVEQy2WGyAkFiYgKpo0TrRLmiGcBUa
OcRgS9xoE99ak2qU3Ll9W8lo3xqCKj5SnzgJDpVPZ6tE+TmKpnZbxMGDNVb2wlDh9WbGiseNp3TD
ych591loH53O3sK5JvTBenIpm30QuqWTXCJ52yYZMn5W7YiikhfFUTwoOFv4xbgdO/9FbZM9n7UX
TUO+gGG9B2l61ZQqf6bZ7KFj4uoTz75a7hgNwj+VN75pe8grJnYmwAqyKDyr5vDVV3tauyl/Vk3I
TfoUnVwr3VSQa7McM2iSF1sJLWfruNl4ZGRPvaszU4yehV8c1BpQlc5af51n9BmFafZnVYcNARbK
YGxYP+ZqCNVVdS4x0hc4bqrq0Gh2sGzDIVtbQrwiQ0DMqwbKY19ij4zxPTEhRdBsmFH6xvrK9nQD
fpzXj/oJmKf/9VN9dv42uv+sFGDX8KnMmUsQF54XNg0DabcDE/vHMkdLLC3Lcl+5iOM7kdwn7hfT
2vzPXmKutD5t8UauYpF0vIRakYhhX3bl5RCff/0a88Tqv3uJ72+D6LdZQiQs46e3oevdmPVuFFyy
AOTheDnRMQ63cJB+/TI/LiS/vQxjcH1WawKI/lD2fHorUMtHw05kcNll06qKmQNDoVWqu84891Jb
iKaGH/TvmPWboEyjHP7rVmKXle919JL+sYeYf+73HoKkATxMKq4EC3Le5x5CE2zFWEGTtAzOexbB
fp+0GgZZn2jQWGTxg8go+Jq/T1r139DhWw7ob+Obr+qfLLBRr/1wXbKKQ8/GVg7rJhHB6GB+uvbt
sMLypFQj5TwgJ3RC4INOpc2Y8as6TbkF45i0F442I1LtaVuIJMHb7GMJXuHSSq59Pew9J/exAWlk
szCA018DlgzLwvWRRyY3iZ9k5zFBnVJNQl9jbQ1Ai6rNqRDia1g6MdsY9j3cg9E67DrQKk1UQ0EB
MyMzzTpOXZPtlDxtK6B55HYsB9GEyxgqwEWJ2YPRh3uMRZscXBHlHlbDcV1bLqdbRZ2XZmq5zFwN
1ynzNjBn455q8OgUrX/IIjhbieJyUriMwZHwCMaMBCqtB9cOPYis+rIyhoSC8UNhC2gA+2buqaby
hMPxshRDvsdkfquJUPX8zATeG4mSgnRULupYvKLtzxZVYWsI4OOvUxw/232E9t2UWrbrfVg3JU70
O+aRvgcS/xSAttl1Yfzewj5+0smSuZrStlhLkVae3aQ6M71524blyz1IxddWoleVvVkO6tEiQ2oT
hTrDaVyhx9q2r5w0iG8yLd314XhLyEHO4z83N6pTXNkCqp3r18BqEDZ4pJIUuwkHLXb1nvHwmChH
LUTOa491aD3JEsqqrxrJofUxtXCEK2NITVjXor4M+e4k0+noNMIVpk8KMLNXnHFqD6zZVQDCOG7F
aEa3FWtXtqN+q+hdGhH6k0z7WubuZSRHgqiKyQEqQHCM4V+6fkFZFyXuV6m5yVEvXA9F3XTD8lEb
vj0x/19zQf8/3PhzxPz104sAlRf5Xr80f3x8zfL+74+vOQFtzirlXjbg2c3PqN/X/epvrmt956Zg
gvrv4wsblsoPqcIFdPyj8h+r+rzTQQLw8cxT/5HrnPSVnx5flgOWDJmZQIGjozjj7/t8dOcBRI9U
OsWlqqbBFqzXJgwQntdGf+hsOeIz1Jvj0OnFxlAnY+MO3TmPTXYFefalRu/o4RXeEjJkrVwDzEjQ
C2MRm2G1ZEsxgafodS9sHQXBmJg8IFHZuQrch9CiUJWs85f0PQdI2cfaMrdO4bJ7UMINrfWDD8tx
OVXOaapHNONFgos7bfdBFtPimnBInSijJbdPHON3gcXato2cKxe+i5fXEdFr9YuOOA0gcXAvM6tc
9ARXgGq35TKR00nk9sPg01uj1Hh00+JBDJBNEu3Y2+mtYmWnFiDYEnjzXV4jelM0IPx+f7An8xru
51oLlCc9GpYBmtdWJZOrqUswIsUjBqcLI+TpEFrDRg48NLgoXlrmJIt8SOEv2e0qElO4wPyaekY9
oFvyq3EF/rRbSSlBRMTZZd0P7IkD+CkhDy1iuy76WYwbTL22QSuwjkVFGpmEhJEgeVT06Wz44pWp
0W3SjeveYeJsBPl5MMV6DLNdpGdgLuzmLDr7Lqz8YFWa46OIcCpEvVXiCDLBK+YRxNZobODE2ez+
pqt6yO01vJD9oKXv4ZQBhG71OxHWGgBr3V/Co7qMpa1fpL69HZzgproww50gAk7tnYMYUYsgol1H
NlBTswLW3E7xqjVaCbzZeQwFax/QnvoiLaINNpN8kWTFa2KLwotbxP56pa1TBxSzymaxHbcRQ7JZ
mPmlro139NfvrCaDbVCZFzPGepBVgEhLZqt4TM17zGkQ+0eH+bsfod6p9pkldqmlwYYP17UTkB9G
bMBqHDil9ECMG+fDlpBbXbvq5Qw27d/cKenrpaXiJFYJY5sqs2FIVe1NpeJoI7DNFXMImD4DEhwb
tKvpbPU5462ohxe62Fv0Dx6KBgReuJa5dLmO3IfCkMYyrGhY2IFVq8gNhlVid7iigTaz0yBfDoIc
Eg8rvXYlwTy6D+uHMLrcFUdfNhqHLDl1nE7cFzY6BodcwbUx59kh6FHXypxxp0LGPox6foV49tUI
Zk8hgXhObaqLgZiCXdnwXsK2B6E6EWtmEsQWqNNlUXCnxHPKHlbns0/sXpipqlfOSXwi5gMERdQS
0dcUV5Fploua9D5mGsygRHExzNQfScKfqxdvZpNCmCD7LzOzcmUnTeIpg5J45RwR2FsVjXTFhAfd
34YEN2Rv+pwpWB/jeMeEchUVyHwrn8tAZv7LOGPp9bE6+XM8YU5OIfydba6BTh1JMFSC5D3puGX0
vODaJuWwcVECzrGHVCZoR9L0lriTr+6cjcikkCXdHJdY5GjgSHlBnw7WQAZVflT0wTppBC0qUVZd
DJKmn4CPeGW7k+8NE+OyzvcLOMOkNYa9PMk6cRZsqmK2btFNWHM1W2YA4SaNQ4Q0fOOEChDNM05X
hV8KfO0okptMTsuSyEgDNQurTm6scEIzrUiItpir/bUcsZoWVWtu0d6wnw73CRkcaEyqq8w0DsgL
b1RfvfXnJDRNl3vfIRsNtATSxaao6xgllVY/Ji6AuZVochEvmy4+dJ3Ejd1KI9MJ+fNzvPlRgwQo
CM3jx1H4b01g/VI48i18+o8FwfxT3wsCWDN04ew8Zs0+qKxPBcGHQ8ZgU8I+EjrifFZ/34mI35Bx
YJZG+6cizZ1FJd/7mVmQS3OEVNc2DW2uMP7BToTn708FAS9MK6XyN9BQsYOZ+53PDbBfqeD8Czwy
PJYXAzOrekQ7myQwRFTJTLxOmVbxTEXARoKX06OM6xvEc/KcNcXOdtnpNcRHshuuKA4ivG/xabQZ
6hQom0hie5MqFlqlmFNsFGhIfq+fimmeqankumRNeZkPKpMs8Qy84dGtAswBoIDX/oesT5nWKYti
5uthyLqSwiJQENSV8b3l5M/lWNxJEh5Y7Dfl0hfivq7aXT7kD62rPPg5U37GE1CjTjIJj20RPTcF
9p/Itc+1Yb2mgFlWGW8MsFMkNsx99p1WPKHNGuG5GAQ4olZeVmnPsKi/G/WyXgVtvzZN0FJ6bADP
7lFaYNx7q0JEf04qjk2b3vY5WlwnsFZW4lwXkftWNe45soaRI24MFur8IPf7nkQviY87f/Xb4smv
9MumyF/R9gCUSupg1SGH2DZ2dg5KdxuFzcKMg+dUZxxbpk7p9QL6cl8Wr73mnhJlbL2M7IlFOeOM
RzNz11EF5pJm+QhycV+Z/hGQuDdFZb0eAaypdb8PXHc7T2nHSX6NzPjdzupbg8WGb0yPWTChoLT5
I/mSXLW2Fn1vu0tdpRzTMSJdCdmcQnf4msIR9RivbgqeUMuujkmeUPUHM7CuzXb0PYyUt2agf2Wd
K3djNP+41XVr0+geM4QTTUFUG6ylddcyc0bgGG+ESJ/g2CVrvewu9NBSF1HCBrlipLigl1yIKVmr
NgcmS7gNCNICsQAzaKKKxhVSlX6pW8LrzHkpzyqAqgeSXFMeIh9dzwRz1atj6JxWP13bqbXpc2vd
VWa1NCeC7wg1YVvVDhrSp4YzlxXcwrJ7hdggLuKx4TvM9JKEjnq6YX/Gq+YOs2O5JvTqZnKMfdQn
xsLWU+Bt1F1eQAbwgu3Da1sMj2RRtAtblF9UrWC1XSC27Tl5ezUCaIfXs1DCrZorsafYgNJUtdiA
Nt2QvNMt2cG52zbsmRdI552a+OgMBPCV6BdX5ASRpTqCD+lkvgqy4a6oLGB1GHC4GvGYGu2XpnNL
ahoNW+hUTudsEPrBzKFkY5F1g12KEN/wmFQ86E5SS5aJTRjd8zH47aXe2vDgRAQmVviZmt+ypW8L
jwn3RGJoTUrNUnMy+6z4YSTOY8UY1qiG4Al5yQrVp90vzND0L0pUN3EruqXTDwvVCrah7QY3JEHN
GylruGJFuKcRjowVJfss5ndShJgfEv/uQ+5ffUj/WTFjA8B+ytw7vSq+WQRiQ39MelWNTmleYiKI
01DzBmG/qkHXkacrxho+N9lS7sSKygQIjAbKDm5VsryaJ92Xge+FBkkIzG0z4T8z8gjNk6rXGUHJ
tEDl8t/j8pvOkinuX7fQ3nv6nwvWme9/PDFpa38/MXXjN8TVNMOzJmAGIX1qoU1kkzo9MhPubzb4
7yfmHEOqoh4gOIxJn6p/srCYSA8cUr+ZiQtjztv4RxaWn+d/JpZ5DnKTh4vLdPJnbFvrd3GTTrl+
zpHWqEl0tINkachx9emT+ZMpvu5QM3wegMNkQZXPwQxnlXG+9XOnTvZcgtIs6c+WBXS4DVTHXFlT
t88i8GuFHrCW6W30M21x6Y7dsUrKO1uvSWZq2mHZs8FfJYwTD5LhHotFlxjGETYGtLXZwl8/9k3J
pM9hOR/OEsmwSW9KXnCpl+m5UCMovjYbZqfSK88hsWhpoO5DfuccqmxYuohDl7nWQM63BLLCJIfl
Ide6abUQV9DUN8mARsx8UBiOumYHVFMzHkMzLZb0yDfU6NdKNlwoinXRRqqkf0RyRHLprnblRe9n
OBld7Q4yccppKaWnz9zjTrZXFvVAb3YPrlO/64H9HGQjayoK6qSzgWqP0dmq/YOAg7EGprAVzOw2
TVjzDdX1XSGCbeSYwTINwwPOqS95HyZrycjTE5J1XloMJdusWedHr7DW2umZVcqsko8vTQcB/MxU
VcCeVCzX8ILe1U1wKgZAmYU2XttVt8G1saU5JeCBLpA/1MBaRNTkkjnjjTLits3aylna7rPb0iTi
Le0q5pNNZyYLLm0PCYzN9xdvaA+/OiPtuiqskyI7qM45WtYKNrqGg1LvCcsagbH3oUZ8hJaeyaaK
14bRb6bMPAWBHyxazdy4lF60LYySFWFJr6zcZ6weW1S/10WOe8mYmnvCT1AwkFO0MNr0pum7HaZf
6dWG+qqmVCtBP96nUWRtBmO61AeSupswlkQq1W9aqr/pbPSXyaBti9Td2TAvAKD3G6bCVxmhk8BM
xNE2pnwp0vx1isvH0Oa8yERxC3o89kjxQBPQGRuUrmBN/DWaPhKTuMRgn5h9uNKGsHrJY47a9eQo
7bi0xID3VR2SCDKuDrtwS+oWM2a7X2tOPwv4UA2kqUV09agtVZ/WzDTeetXdRZa2lhOdOhviUt4n
ljHLDHuNRbwVzURxdBZeEus7g1ZTQ7HbznMIp3oBoH+tJco7yiKCRIBiF1yNCEslvpemXQ5u7xU9
4RpKZiGR7eXRqeHRK5x3VsQ5LhsZIZoM+icR2w3KgfIURKq/bGASEe++CM3mWMYQItpm2/ftIwmc
dJFuvJSxSpJbcUoEt6yRJ2cw3odUUXZTiiI4DMJwNQ0j2m0ZvYkeXGTcs/AcOu06bMVmKNr3BLQ+
jk5klqJ87OtVdmvvQrMmPE7ZjsJ+GVAXgKZJlljVG2rg59S8kT00x67blwyXU0rtOK+X+pqZADU5
IFmSQnsyN6SOx1ej9IqmUm4MO27XKtsGkBrm8xxng7W3pyqEXmn25abT8kuKzidkRkhvR/O+bVXn
VCpkVN7ONpTAQaawBZHMqvRvHqM/tjfcNKj1tTl6iXkr7mnCGH5ob5qmgfQ6ivHc4yJemBt/P9wU
p13cLpSX/KFcIUla+gv/AE+489BJ7X79+j9tMb+9vAtKFFMlZac1/3mfuqva7yypiG46S/ul9Heu
2rL1f1ZY/v/z19FRyc1kbmGqP68x3ZYzKyIq7qxFR2KaF2n6TlnXd83fvM6Pp9+3j5PPkzNQQ+BG
sveP76diCGZ1WqiehXWoBfgRxiLmw6/fi/ln39nnN/PTi3ShqjY6YJKzXDf34TJZya365kAQXhSn
jGtscY1yapGt9e3dheOliwt5itb3zcpfXcX7frHFRHVsPf5Fr1jzn9X9r/8+/Sej9seXOvMPWQUa
tPQfFvlPX2pK3C05Cqp2Znl04V+pK/WkPQR7Og/GRd642D9pm2F5Ua37rWUtswPJEldIvtfAZP4t
JL9tkmdUx18XkjezYaf+YxU5/9T3ucvM0mSiMasgZvivzpX8+yJG+83lEp7Njt8tmd/nLgS2adRd
HLTMWD7o9r/PXZzf2EYLikw8l992NP+juYtFncqjyUJ5oOKs/nnuInWE25XijpeWcJu1qqQ5U1kV
IFFicCocHDUerEUlLUWBH52Xp77vbtTM2lgOWStNDbAoClXrOOQD7vtYzxcd6EvKSVx8o9GsdQ0I
hijgFzAoL690ExO/MFvlkI2BtWni4tGdIGsrlvqaVwyJyYe8yiK0PkAlU08pZcpGAdWFg0Q9LySO
wNJOllHRgwh3QCZ1UYBvO9OvEkNJdzLD+JABsCfF2toqNl2tZfjNTkvoj4mHyS2cNck1A6j3Pqlu
Chkdy2w2O6pC2cWDMjCLSFNIvG55qXZMgqAmuRW/xdeSE/rgnjSnzmuGPPX83j2pJh+NoadEyskr
NZnus668c+PqwJjkGbP4Ji4z/tip18nwiI+mNeLX663TVDpvhHnSyI9EimLLOYBwKrBN9xXROS0m
SjGsXd1/TUKD09spQKs1oAYrVPblYzwPbudF/zIKs3rVW+OXKSKZdtaa9055zb6JOXxsVM65+RCl
K7M+vQx5PTRJxNNBhsffCC0JTAo5MgiIwKUQlaO5a42cmclxopVly0M+gIxBB8ykuSF9JO+YbZlZ
TFTNHFrjBoid+jnHpiMEZw624aG8kgNRN8347ttipetlu9TJwiHg/GtnA3Sw55icdg7M0eboHIcM
Hb8eBcMIYnXKuLwKydlx5sAdomrZJM8hPLUJLCcnl0fq7X1MTk+nZjCmBahAJwVyR5jlHOmDkIzz
XVwN5I4jBnYXbUYu6xwDJOdAIGeOBnIakg6iJGg9ew4Oslk9rYo5TKiYY4WiOV+InKHkI3CI5CG/
d8i1rAgjakklAs2IuoqcInsOLGoGBYwMgaBbpmam17dJsioDE4KHTtiRqk2lN8wBSPilbuw5EmnC
+rbVSUlqweQtYZniLR4IHY4qAsdp8Kio+ivYAE+5bfjs7DJnhcrumAl9C6iXxJ7AvRxy3MGpoltL
OyREDbnGQpQaMIwew3GcDpfFoOzqArAjIMtXEoiIcDa+lGN/js1umFfx7zykLmo9yBZ171yQP6eu
oLqStdDkErRaczZK4y02gWg3Zbg10vFLH7sXg57fkJwSLzNrekpB4UJqtoK1Y8XxukS3sGh98dQU
FcR+9AVxnLzHE8o2WLebqevtGWxPuc5mBplAdFOEQc9NHWEBK5OHvC8eQISj35LmS63GzyTJoSpp
IdqUrC5AbRknct3u41o5aIHcI5fjoBssQh3LvY9AgzB5OG/glxaxqzy11bix4+JY1BljSXsOugns
x3bS20USGO5WlrbrNeRab3uNC4+JqHmpJwUiwIpU5reP0+DfdcRMZP7rY/FYNP/5X3nwnr7/iUhh
/tHvZyM7CYIp2TDQaNtQOPi/vp+NmsPZaM6QoQ8vq8ZU4vvZiBmDIpaL/rtR4787CXLSZqkhB5nu
kpj2z0JhfqwxUVhpGD44EQENEQ7zh5MRLBbOqdyNLzpCLy0ba9rGrB4+fTD/F+OVb69CVU4FZ5no
ySw+g8+VeYWnCeGvFV+0RRylXuGo+CrdenSWPrrwVWw0xJWRS818xyFYogzjZTr5B5KD42u1DK/S
yNnoVhgdmTuy1NMUhPIkey1SLVKXagC6Ws92nQxPkXS3Zacd1am/Irr7VE3FYaiNy6gO9mqczMLx
AD+kWmEnh6e0oGUYyeJy3+h9e/BeIBdBahPilHZfWSLUC/Z7WMFoLVweZfz8YBNaMjKrFftembKN
3w+2185I93iGuw/dVMwugRxlmm7ekzhtbxh8G896RuC8guF5E6lJKFZhV8HzL8YqeSDGZfTGmb64
DdyZI699MOWl4VyIsRmHjT3j5gdge3CqeXQ595Ne4T2sdFLulUlYGw0aLtEoOFXI1152VsYuYMHj
Q7lkpKSc+P2l10Q4PJShOxRKvnEKM/JEh1rdDXUIj2D6eQ6ayb77wJ7xeiDQrA8cmv6BRguApBXf
cGkaQ3b2Ru7BrYW9lwATn5gumg/SxqnpgGG7MT8AbE6RcLLqOrP/rRNKIr7UvnHvisIxFiLnFFU6
kMF6Sexq2iX9EuLWyPFnyQu360iU4zM/5v7UvDRhcBhGiQBhQHHgVtFOoXld2czqF0Eq++tJdkiW
SW5xC829DkZwVG0cRp4zuuG6KAEFDAkAt0Lz7Cp6ILSUdJ0pk56oomlVA3v1ENmzCk6HaC+mLlzZ
cAk2bZtqy9z1zYsmlPocDdRshCG3mEFsLxz05iooY23lKNmJY4NldQMsHXGMWVgQJrrY80W6LSBE
eoGhnhu3v8HBIe8COThfCxVjHWMI0Q/iaxF1npWR7udX2q2qdOtAtGtFL5KVq2TrxGGUj/6D8KLy
rWna9zyq38d4vAdZw+BI7l2k0MxqkS1OG3MA/ACGzXCBLls67ChAZbX8olrdqcqUddprK6OG3NiN
rzkBNEHxyi5FY7+VGhv8tfwRlnyyRPQlnYTJdjtp9q3sZ7H8dMTqDYlTPwER8foueSr5+prWIGvW
sVe+FOtAd7adOj0NfsNmBH4Y284FMYEkuREVv4st7KfaGHpU62fe4zWrKXYi0RR4UY0TwpTsFEJT
JMvQ16/aFB4GRPpDoA9czK22SauBvB4fF7CTjQeXm0gFdam7NZsL5+iUxtEcigey95aJZd90enAF
Cuto87+l7h6zTl6FbrRP9XKFpiRaAXhjbIXiIQ4RI3U1tSnKg4tESZ6LRHvGtrWPGlCcqbOPO+0K
dZBHkLxXpOnJMmMWldV4mGx7W4IMY4k6vlaJvSXBwnNrHBQh9TSY6z2ZF+OumvJ83zrFWzb6Nilx
VNZjgPvSGoxkU7klKzNNuZ5GpVr/+sn7JwpajQQ7nVQxFZMcuv/5+f+pfQ5HLWtGkUYXRZXoK5m6
+MIlIAJGremxzQw8chDtgwIhU1ZO71pZNVdVlai3Dt0IiUXDNVvGozr4XuLaD+rQbgDaf82hQntl
SS0exAi42Jyti4lrOp3lQL7VLPsYHI1ZSd2znXYri+ILkR/dMoqbex1V70pqLUslNWH6my9pCJph
BxvRpsbKN1pcb3RTMoEj+jEjKTrNbjo73nd+cpiadF91+tEuiyN+EfztMFcpxaOtjlVjyfQPMLRS
rENACYByba9Rm2tz7LQllJy9Grrc10agHv2WijKuh7s4IgHBFR2b0lG/NCOmp5UAUTNEyUmW00XY
xLukpxPs28iLQCX4c1FL8BRFsIM3oY1XVlAeCa0nUiHXL6O0P8Ca3XKu1Qv+yolzrQH/Ul8mcXoN
2GIO5WLTL3IlWhr4BP26PkdGI70MNBCSn/jOBCaxCIboxVXtQzQD8wYuUKee1klSvSUVW8oym9N2
n+JsJEJULAVhviSCnoymeCtc+6hWjKIDV3nzNTGxpa5ILMHKm6QZg9Nyfpa1xwgejK6mDBsJg3AU
iPCZrpE9OSYrMwwujcnSvHwWyJlljPAqi7v7gpn3AUpWfUqLPvub4d0s5f6vBeGjRCA3AywaHFID
q8BPJUI8sZ6tSey88FlNG/G+1ru/Gacxn/j0CvxKMj4QHKIAYc9FlixC0s+3Akk8OYbVILhIMR0q
4jLqom1UXtc9GI2aeE/IHW68+psbcE6k/+Wrzu/70w3YlUlbmoainNQxv0HrDiSZ/8Kp+BjQKpPD
nMfL1rEehG/sJB0TOxts+SkdA6bEqFhiEX0sFPsIVF5dNlm4Tt1e++KE2HEyNb4TTtZ7AQ5LOzWf
hJ8Mey2FWM7VlBerbrLzlVMqsElKySokH8ddN9jGlyJnhmxOeIqiKHpNuVZXlSpCjyfw6LWOUJey
c286M502PA/vQOToO9jNsFLbt9h2txxKt01drwVBIUgMIDmoobKKYd4v0j7PN1Dl1SVhgyYmPyuE
cDpck7iMAj2iMzcCssLd8cBF/7Vqep0uLGJxwJS8N2+HKX4w1WRvtWzt8TYFpHKguItblmSC1Uwy
xQcdi1s++rpnpKrKAZPwlFUfJPBmEAXZyYFektf9CrY0V7C6Stogo3MuQZFiXy2nGPpD6p9KlkOB
ZW+1AgC3Eww3JN1TwJXKbdfCqjcMZIWT3W6UEi2s1hUvIqhOtZpdVSXDgXYARqrtJRPnhbQM3PoY
9kpNu8vHcDv4w+DJursgYc704tLa1bX5TnYCcbOAnyvL3ASlebT7/zOi/Etg6MeE/b930R+vcTqK
z1dbT7Kx1CeutviYn4MLZV0dqnsWVTvWc0eHo2f5qvcQS7UT4I1vmMi/fPFZJ/UnlzpEP2CIQIDn
jJ7PL66VoUM2qqmcSo9hxlFfluuOUPaD8mCvaWfvLpXl8UGuWEvIF/6RXoAtX+yjtX9hMLH9m7/m
x8bm2ydhsJBAgy1oo35eBoxqnzGRjMML5uelkS4i9aGW21/f3T8+s/74Gj/pu6c6I5whJKClqN6D
mlXf1a9//5++B5vZt+2YBhFmP32bCEcmss8rDm/lXLE0rC1qzm9PqH/b93kt89ft+yr9j1fUL29/
AlmYf/D35t0lhw75PtNoxtQ/AgW134BnY5mjTceR7XA3fG/e3d+YW5voKXRzFkfMWsPvgsLZfKAz
eoXBMDsWkGL8g8G2OQ/WP91ylmqBPYDyYAH3ZEPE7/3xlqsCny5Pk82lahb3fT6ydTUqT0HQsbDj
pj4rkx8QoiGKR8tkTok5s1q0tgL6MwMF1SgyJ8AEg3IysXlUffMBKbGNZssB/sfsfj2ZUJeyaIoW
rPpns2tXkJ7q8hSH+YOceGJ7wJbaGJxwL0r7zm3yHbvSfC2mOl3YVrHnzgy2tWHv2mh48HtSkmVc
3tTFPAxTInerqcFrbrLeNdQDSKGLQg2ZHwe+tlDrWFvTzAHq7pVj2kebsWJ9TkbLARX6k9/q+1aU
zSGch/UySNcBAaXLrqeVE4P1RdQJIVTtgI56wDblFsO7KMQ7es/YgzTEhLuSJ3cwHnO9yPfMd7Hy
286LLsOrkFH+jj/z1c2zS7rYhWNIe6kQlvq/2TuT5raRdGv/l7tHBYDEuLgbkuAkiZoHa4OQZAnz
PCQSv/57ILerbVf7dtS3rojedLslSiKY+Q7nPKd6mFIVBSzUdpkBsd8Gzw84hgIawEqIYprcwHfc
XMG0oPyrvN5ZwP3dVt4gIYz2UAjJ8BztKMjkPG/SRHOCQZsu3VhiwScwICE4AE8z+m3TQGpHZN6q
rMkXIJNmR6t7EE7/XCwJBI0giwDL9OW8pBN4unpgTiy9q6kDpVf304y9jEWvfx5r9Qc9rb0KFwxG
lw4WwfDAd6w5n3ZFwt3WJKl/qDF6X4vMvAcRk6xqxaja9EAARJn4MuvuqsZB7Q93g5NHJ+LT6+Os
F60P6Cnb13YVyFS/MdC3szr30OtjdFhlevKwGCAYKQ3eSiz5Piw5yPd2atz8Vc9SWKuu6B8Ih+mi
HR34nauBs5Rp+3UYkPvkDq7kkj8xeMkwnR5xzn91RXEeagCjS6NpYIaxRnC14cWiycHVJb5oZv6M
aIT4isjdKd+CdBCne1PHPuHCOmc8Q2ctyk+xoqI1n8hALvPs3AndC2PQ0OAoHPNz+aHnlReMg+eg
l1SAg7LIXo1a+mY42hODLpwf000e9+dq1O5w1Tz3LIGRvvi4q7WzZoIrLcL7qUzPlGRG24TmQ1QQ
vx634V04uWd9yl+oNiPI4TVqjMzzT6VpfQldec+ibF7laBnXk8aZ7yb6a2f5N7JNTxF6UjOkhfDc
8VIa1o1Q/C5FmFy3QC6gDa8pfI8RS4PBkWe1Zr9Gqn9YRDhRaQNFsy/jZN6LtljVXCtwItWTPXje
Lo1ILc5IJ2SqxuI3agiV9BdyUzjRUI1J+9R2xVH440UmzEOszw9DCWUMl5+gnJOHurWTNQ8svDUt
vwFK9lqLAoJRlrcrSAY7swcVDGbIC9gjdAHk02KLPHA/W/QXrI/SQ+nW66kztp4Jm2M5cTmljCrI
aAOrgWbGZB6/HUZ1HemKcQL59Tp/As6ka6Gci3Tw32zWCqignHvTsS7AgqRrMQDRwr0HFXM54tp4
JhhEvzX9cpu7MRaYJeqng4CHADzfF/hGiBbAB1T0dFQ8b8Mc3Rq69eoWtOrMNi7IyAt3UaRpW1Rp
N4YrWgZhmbFWpvtqJm4WGGVOrIhTw0vXZjzyhERzkm4zQE1tP4e3aQPihRTLuzIZ2SEabvJWxxqb
w3EMyHYjuyR5lPF42frxHk7Ix4ywI+ixRkFA0yHSNbWxTjqbCSRqsOKxAPUXXcwmIu7eGasA/O2Z
7bV3Pl4XeFsu3M65eq7mxMeSNAqSAOencPRJ5Ry7V6fXmvU8tFcY5U9xZAANCJ+nbvgwmMrwMW6P
+WwGWWTlwdDb10M2Xww+M0xHbyt+/ybw8ulc1wCctkOpL9sZpMPzcCcm8GQhVNsqfUhHUCMZUTv8
NPOTn00XXaMeClte1zK94nngjzAN90VmnGYbM0bPvmQ1EhOGO25AltPflkKdDKc76lN6ZunTfWky
hrXsK4dRVQ08BHgrn2ordjduTtyoggVBBhga9STt03WpsxHhjN3IpN6XTblv035euUXHseOwenEE
0mSDvEPHCPOdU6eHefb0g5bJQ5nSDrUJDiR4i+YBSlqy8fN0CCpRl0Gm0/8T3mcsffoWzGP6rVf9
pyrTqVB+X5VtQav9p6jh5av+LMm8Pwj+ALJDUfbLPgU/KNQp+AI60gFmXTQg30sy9w/+uwvL81OU
+lmtfS/JbAJScLi7ZNYjA10ksH+jJIPV/mtJ5puOTWKDt8SgABz9pQvKCrzcROK5p3DqjlHfjOVF
L03lrNNirMGVlwu63JOY0ItPnnnlL2mU1SfnnLH1l0l0t0XcqE3cMQ2QUNGh425Ql6G3W4DplZE7
JNulrwLvHB9UsOpE5NIRz/YJGUaP+k8DVFPcQAN9lENlZNc9OM5bXNB7Hzl46YZA4fgkR3qinbKw
9ECCjE2A/jr6ouo+vgo/xeVxrtwru/SQEFoyRH7ufErR7U9ZuuNqYhtyTsmg+xSuN58i9oGLeAxy
pO2ZuYjcu6zCTQEbiiu4vZCpdZSDfWMT+gvOrnzQ5/xuWLwD+BLezMVz6sTDa9GTX9oyWAP0/RqX
6bwCt3VyBvPRmaaHgXS/taAg1EZtoxUcAdFitbTq2mDgj0G8K10rMKz4EWefh/oxw/xm32aevEzp
xDdKS76yV7srButdt5gDdwV/FNvrr11B2x+h4NhLvj8xfHX2rETEPQk5RScQcNMsAtIi9+6a3DC3
FZJ+7HK9RgS5uY9hRpXj2G5IYTiIGLKJDaIF5qILewjjSWCmTc7BoY6iNq9DcyjWs4gxolrmvsqQ
T2IGkGtfTeZBEQWzYjvyVcda7g1dsSZhOcTG2O2K0n+J4urM8d2zTvjtOvE0SNizz/4d8Ygfd9sp
1L7aPk4efcIYX5+iFgQmaNdN3c7OHiwL2I2w/ugr9IYODgrSB4s3ibsECnT5xCPdM1Mf3T0ClmzL
43VtGU0Py6Y69XaqUTeGV7mPODjCwRTFxk1Yo5oZuFHZOLU2mJuxW/Cv0IuqpyFlClpF/bHnHey7
YUtyarKbbNzLjt5UwVxah2JUl1NjPxpdfyJQ8C6F67QmNf6hiOKb2GKPU+vDzogW8YoDqWqM2xvl
hnewKa/nZuAjYoDKVgZbCj9hfGW04dWAZEHloQZCXHtrGy2Gi1BnO2VzSc2Gn+O8Bhce2R1IcSY0
hqXmY1W7l6mqiOfxbLmuh1KsmZH3sFTlOU7gryTQEgLpsS3rkgsnrTFGMZ8ls9XY6ehpyD5rCO+y
io1lpOz4a7lVfn/pt9bTqMX6muiCcUUQp7OOB/FRKLYvhBfcDHO97sH4zEumrOtOTM1LhsZ9Nt6b
ci73msXTyQpFgg1K3nNlzlyO7pMt7VsTZe5hrDK01K15oE0UGzLHz+NRw6tqMd3SC8vayia9TCKH
cLjspsjHUxTzbMvYNSi0syAp/CszKputk9NPyFqit27x3TSlc0dI4oiNRf8ITesZJ8gbmI5DIwX3
fIQ7KNTMd6vTHjoGguuiKB4KUGOB6Q+3SrGtSZziS6WsM1urlM2EWcVIplxrcq5F6tXuJul0tVZx
8yokSxXTZilFCNFqsMHvaVMfzBnd1Ti/tsL80jAy3vt6icwdM9mM82bj9TGW4BY2rWNRA5NN/BYq
RFC6S3pp2QOvrPV8r/RKrQYXaB7U4efasW77AoKbjD0cykMoN8SYpwzoauRViX4acSkHaJXfx1n5
m9KmskzNcTOGlbuH7uETpWch7xgaH9sVHRsI2jcE48Xa6MiS00Npn5LJTlZj10wI+bG4CLO5kSUF
jPLwphvzGGRJOfE+Jds+EmqT2Cm73zSuLwpXHlRBPmXJ7LDQLDKSXFZdk+BpBV345rglXViYzoFd
srCxhNo7REwcqtraZszpN7Hr5FvPo/HjPJx3Zdo8t569LVsNfGi4qyjZr2MtcdbE27DChmi4QhgP
M1Erq6XJCa8dhFdbtzEO5NOcQ+PHfV+k3o4+OdpAC9ZJFFXqCAZlWUKk27juxdGsBUb5GptzNkXl
Pi7L+X6WBe+NVNrWhjOw0ijuVxEbhJXdjwdB6A5sMm8GgD+eRbl/DP35TEtwwHkG/U2Y4Y0vwg28
6ltPc51zcunRbQ+4+qn/r+ohvitN5PQZqKdtLajDhlhr16no35yGJQxDZ283edgylEGYAdFHjCDz
+KpPcJGEs77JqmTc1fV8JvrwPMxxYjWIXwHsByJt9I3JjGKVuO2JLPo3DxBD3oUMJLBeIsfSbJRJ
9rESngpAziOmnhtcE7p8MIbspcq0q7xNbrNIW4b3uhOkiwmster3fHY/okK3tr2wOupKi28J/Hgj
c9iJCd3XOLD58AcgAYY+bmTThizSsjPAgDpxSmn00MT5Bl/xF4dmamXy0XXz4gM6yxdb4JqL+1P9
qfHvi7cQ3Uhg+AjuifF6QFaEg4XB+8rUtOtZr/WNlicXBoEG8MCzs7ylElnIg7Y2coAZxvvkdcBh
w3MvVAWkR3UExOxvmkxbpXb5iPHxNJVIIB1VILCCjcYbemw64wyF2let9j7kRPvoMEEpG20fduk7
lpZtN1T9rnNxqdX8q6y0Bz3Vz+forGDo3g4unvnsxR/S17jj8B01nZ2Me4D3vTw1XrTunPY4d5LO
DYxgUtCpp4x+ppnnOcF9tzVN610Qi8k2wr1N0oj/Mwc4jJ7zpM0XdAzMFpSmyY7K7ZkK7JBMpKFT
6eDEcI6zXRXITpJLp/FWoS8fDcE3rye0f2F6ljG12omif7Oga0RuWK5r/Os6btGliDEEF54P6NOO
DSIoPHHCL3HfSny9dUeiolY3VzUYIIRieINgSwwa1lGXbThel2IHNJi+1IRQashiRXeBEJHcyy2k
c2Y/M7YV0B+3xdjwq3nlGMTUncgsEvInxFI9tAdXxEep0o/YsJNtJL1LZaS7at51frYxgU2qcmNM
56z47uJ8xMhkWcUawcAuTcd6pVwKGTG/Ck9uHRm9ek5yjvyzpeTQY96s5qWqWBhOpkxtLuKxPePj
cxcpxmr0bw+ESqNMIUOjawNvL6J8b4JXH/tsE3qivi6dtlBrHfIQ0AHLNrTHmF0wegzCLtojThZZ
MPeSozduq3zU1LXi3Sl1O9E2FpQdmBxAiTaenx0ryRRgIn5vRc+5m/2Ihr7SthoZzpsy0+Q2gXAE
cHLYhGP1BMB4DkpvRK2rIiNARnQv2vJWWkhO8Sh8NGn7aCUk2RcUXlqY9Fss24fYtV7qcrqaEt9e
xW6NECHpizV1V7fOMpaythwNyKFIG4tYURfqXGwdVxrv3/LeUZsPvmLxGsNRJZM0r63N1LunsU8u
/cE9J1TAX5Vd+mL4aoMm79yYFdVNVb9ytwDVR5Sbld59lyTWsR/0d2Kpy92c6lBMRm9vjcMVnJeY
Im/eTbQSK+oauXHC8msri70gd35t69W8bVBUWk1+Y4LOLHuQLHZRyT3nLrnFmH+UzWUHsn0/sLri
fuMF7Rbhv5V3bLQwI3WQ9EHb72qTatc3suesSdZWfJlBf0xZWcpJHOwWkLvvjSetKxtGlP1lYadf
iQfACGAAtlHsLCL9xJpvm5fjyTIvHUZ12txs2laLjqNePWYyOvRx8qV3+/sa2CbwPj3w2t3kuLd4
fdbUvSfVmM9Jbez9jp2+KKLDjNn9kA75Mz/gfby09i61YBCD9D3jVHi2imp8LGbEQlWTnk1xhjhg
TCvyR+YLOSrAIo7xVI86bpzsWsryJas9YDlkrRUKNKldnScifiwkM9DPPvafhn5Juft9Q3+B4OCN
3r3sk14dvv7v/3xzHCxf9Gc/70Nq8kxsABaeIaAN/9ZHmtgK6MoFHT1UQjYpf/bz2EzhKaESwBDC
BsZlL/Kvdp5/MTxC13yB/N4DHfe3kA0LQurnBcuyVGEDZBgm3+ubcfSH9X1TNVbvxWl81QwpVE3Q
olw9tntpmEmMyj/SQm0OKOSlA/+dxCN0t4lrhRvFghgTo14Y/a10jMj/kFyrLYd2+IK0KNUDnr5c
O+OXJkKNoEVlBBGLWyC35CQW8OisuB5pKMyJHepszzllfueHaI0oBBcgvnLo9YceLCVcdjXQZqYA
oeO9ixGpWeWpTV84IdnbN1GLwa0sOu7sRubtJTO9oYF3oqQbRJ5eOavMczb63A/auw0Mf/fPo08z
BSyE0c7vH/1d/l6Wf330ly/6/ujzfHuIUZY8GwsY2bJC/C4NNs0/FhkM/8EBvaAZ/3z0BStJOCX+
n+tF/un7KAtHDZ8k/s30DX0x4vydURZ4k788/JBPdOw5pgdffvl2Py30gae7PH6ef2kWLQJXG8E/
MWFVVF4LDW1QYMdFFz4zrm+viRkrnSNY5nI9j/65k/rnbelnVErZa8aMXVEn422ItsqyGKqykZ9Q
UYgZfohogmH0r5nQfJCpkKzd1qMSNHeaa+KVhY1sE0xIEIJHIALyjL2W5K92SwLHIoGPUnmdLRkK
Tt8idXT2rk48NZMeokLkmhwOzAcEMNjwFU2K/8QkmUEuGQ2DrvZqSW0oNeMVlvFqwv9zaOE71wQ8
oEZ6oxS48GAu2EuUiPPFBwuFBSBbse96R7q8yZbEiNQnOyJboOd8eLd4PMu1ORr7hqCJcUmckEv2
BLadNqiXPAqo/Py2RLltump+ZFh24S0JFnLJsmiXVAuTaVhskRkjhmjbLskXRhsBPiYMA1jEGetZ
sM0WORkGgRkFGG5S2Wh4q8tpSdTQsAVti46UDVKFDnLJ3fATlF8GdtmNLq1xVS35HHCexYaxT4Fy
zMcPq64LOzt08NZWsZl+VcXorfQl8aOtQvaKWExFpF5Kc5DEDBkfvakdDeJCZK/OOXOwMS1JIuNn
pogkXaRackbUkjgyET0yE0FSaKV84v086+3nuXAuLALo4UYRXZEedSe8lUuWSSuRHW9wlTbxuWYi
Tw1KbCzRqs7zKobu1Gd+c5qQ7BzyDpUJMe3xLsHXMZFq0/gXIBzjI4nG487k2j/wd6n1wNKTekca
u38bkuLhr3NlADxuKiZho62sHZsrK4c8MkU7A3wlK+uyRV2I/PvRqxxvr82Z/vTPcfh5HC56oN8f
h5ftC26Jv56Hy1d9Pw+xSjDTNfluCF6gUiDE+H4eYpXAYMhmFU+EbcPl+fd5KDBREOTr2Uy3uPqX
qf/381BwHsKhoLT4Nvf/e+fhcuj+VAwgbRJ8f5+Tn4rE8H7R+1A7qkTCR7lofYPcpDnPfG5oPzzT
pkY/K91uaa90NTxbaXxMQvXFixAs1G76JvDuQGi0JXNVUljHoBF6etBropqnlHZ1bTpx9YBUG+kp
2F3idcqYRaeWJg4peow5Xiy0te90BSG9bmkjou5GxIET+wRwt7Bpgf1AtkMSyzTQGrdNm/rOUS1u
BR/bQvdpYMiSmvMrXXwNE3FbGqo30hHxPNhJCLsAGwSNE7qMxRmhidTf5otbolMsGGMMFPlgXNYY
Kjpbv5gxWBhiZtroo3XVzmHcERgRHyZiLOAGIP6YDVwaVTcOG7OzYmiyzk6vtat0bNKbOvTO+sXl
4Sx+j8jvjPMSttra1GQWKAfwfIthHbn+cDn13aWWTd5KRjgnlWWAk2criuGJZipni1mvE6Haj0z0
t0mu3+JFKGwOl7680hqWlsJCwNLU26h24id617XLADAEjH4xWuQ9iCr+IM0ImGLtouuovNWANMRX
orgF4yC3tcfw221mk8al2JXN4i9h/zKZPWPZ2XU2plHGlyMTNrSk6bASdkeMhVbdOIDRfZBzjDmh
PfjsVGuT7W2iXYCpg5prwMsdauu+A+DhxllCDZd7WzihCX1jAUhgZndeuzVB0QOMAkPzE0JFTBqj
TrXptxLtt9K9n2VEn0I2lLc20A8HTzv6zp8veoSbUs/8Lj2ZelxvyfM1X5B6MihVGUadf86/z/Nv
EWP+/vy7eGmT/1AOLl/0/fij5qNxoeNBrohfefmn78cfmB6UZECeOX3QXS1F5PfNJutQ7PEYy2Dk
LEYuDqXvx5/7h2dYlIMUqw71299rhQD//HL88YNRDzgWZBl+Cr7hz08JEE6Q+xogS1HED43Ie65T
xQqsbhAYz8XWa5wdAQkHW2momP2HokKRqw+cUYXv3KUeuoyqPxRpGjSjF3Yb12WdFSTYL+7zJUy0
IlU00sr20MskYv6ep9qrmVcFYy6GbPGZG47gcOxSZxSbu+m+61nfFThAr/USUEw1OLcyW8S8bJRQ
ulHSlWJTxzMgkam6U0p7qOzyXlT2sNLNGftwKw+OphDFeEfUHBtWFG8ti047KyX5LvpNnZpXvqc9
mGNXQtqFLhn2iy0AxM0Qlh+qZe8fo5IjGyHamC1yatucLvvWeGnyFJHTKCAUVPHXRhbzptfxuPiT
F0R6z4izio0tOFYX96dmqYOcKm0dy+jMGNxLgXgM8MPZPLhr3YBbOhYxqhcs1O1YP8a6/0WzXIZu
uSCFtQt6u3jIkpk9aTrf963cjoNRn4xQBkVdfaBVQ4uc3PhDPa7AU57XUXEwCvWQdcMZpMAPvbXV
RtcUFlYhBpI0xhFpVtbD8cz2TccBK2JnzdjL3ISUz0z7Y+/SVLVaz9jX1jBJibGB/dkvFXKVspQu
dKUFXpbNXFBIVhzdfYtVdCyFoXZ9SNXMzhizuHnwHbEfhvYyzKF9C2bNF3HTNjVOaGcodr2dU1wy
Vj6IHjNyZ1/0E9h0UZnmOi7HrUUobcaiNcsn9pJ4f9NyeokcfPV8zzWMHBZLyIlQ1Dhwl7QXveWc
b0d2iEaG2Kfz3yG/excef9iArLNhaw6xg9BQ4NIu21vSIqyT2RfVmWFGTJRchINzO+zJuCEd1smt
IB/JxCgKY4eZowen2zinAaeiq1kHrekecHDu9cF8kGNvrKO40zd9ZxqInc30vC4rpgccx0Fsg0sL
R1ar5cQ0XVhauFOGoZ/qSZjXicnuKcnGnQ8RV8noWGQYx6fGfEH3bBOwoZJLV0DD8G1rq7xiO/Sd
xGVFfJsty1fVVVtzTJ4qMEl09lkQoQckSkXll8APyVQs/t5NshA0OW0QWwnYYItN9eczohYTbY/m
G5d5cZ9ZX0H9/FenyC+X1fISzH4cYQHVNlij/NKVqjqaOuoi6zLrXofsStV3pf8PYvXb4G15P35/
R52/dN37f7qk+KrvlxQc1QWgihhamPz9f5pZGH+I5X/2XD63nuPyxvzrkvocyjHD0xEqG7b+Gan7
/ZLy/8CV6vAdXf7xk776N+Q3zDh+vaTw+HBB2dQxPCCMQn5+AMfBn8iAcuSlkqJzA4ynVJOs79Qm
UknMKiA862dc8oFKxzFjb2fQjBu6l/SHeqbEmkaQl+ed8uUcpJR5TPckH1bEpiUfuDdS5VyktXUb
zkEftQnj/qndT58TPv9z2qe6rmu3JM8wBQxhK/ub/Nt4MP6cFTZOZM5okj8HiXNlsAl0h2gygsKM
2jmwXINZxLI82fRDRv6WniHQbMfIsu9zAwnyFtkhzHGj5lZEooH9cFT7Sagh/ZDCm7YRzjsdc2Na
9AEycH0fs5g9aqGXvyaMMTY+FC7AzrUaAy1vHQjQpKf6MdgyvdDo4u3Wfh3tDukv9qBdz0ker+yG
8HVbxR+O1ODSld5HWubWqi8iYnMBQuwo1hk+jAPTe7eSZ3HEbs4jMxVtDrc36RjgrZh9vgIOzFYm
nTwyGSIWVq3Oom+wCd3gxNL3ELRj/D6M5Q2AlLBHq+hYt1p+ZS0dST4Z/s6ry/fMne2dyAnaZZBh
7bqqTwIdozbwA2jSlj3kV5k+dGsSZzE1juaqaBqJURd5cuSJ95hlwt5u8VQPS95tQd5dQIwfBF5H
e60zBPPOnA+0YZW3i2mTXBmSfMy8F+VgOnbkeNEP5T0c9wquxhFxfroxtTiF9MHyPaqc6phBIEkI
Gt2YUNoYF0t17fsh/FO/KoJuUWMj0GLh3Fr0NUPInmZu+TE98ZSXGWF4DcHCWIZwB0o0ABXEsFVf
s80aKpHu0H811xFaeIgsEtlS0o6rWRkN+0RQKwC+zXzLIHoK6BCRjZCYHkyGO7BWRLUZTmW2N3IW
Pg0s/P0/pf230p6G6PfH5n4oCDL+2v91uGHwdd8PTkr4RZcI6YHOlFqc0/HP6t5i7gE4iZmy+Nfc
498Hp7WMNnRP6KRSGCaX4b8OTgLPidY0aRj4rt/Ujn/j4Pz5Ul1OXtoL9jD0CzA/4TX9fGz2A2G0
bmXLq0E/UiWl6qbq/ktp8A3X+YM7DeeLTodi+Rz1jHH4fX9+EQO1MNyUrr4SEqglkGW7A2MXC7PE
Wqi3DaNNGLPZ9VwljneK49h9YvhpZteebqt1rBeTeTQJselIhGni6TwJ88ARSTAnTC2GWYAayq9C
W9vklXZQnb/Xmuq21yH6qZi5QePeTEm3DxU87LiYthCCjY1tNUetlpeal73miqg0crCHuj6QB/yE
Y4IPVRJfRn0XeGZ+cGNWK8bUfqBY2NV5IqEwWO4uaaxhrQHUW/W23Dcjm2MMy/cu+yLRrfn1niJH
P+hYPVfCqI/NVL6zy4mR11tYLYr3kOA1HDl1vwIMgD+Q+6POB0zK7pJetEispcnc2dVfl6w+KkTS
Iq3ybjQiyMPmfTsxuDST/jErVLeOlXzrHOuorLbcNml9UcaT3PgNDQ5jHnsdVu0trSrOAqvqA8AO
F0WE+afvxHUu/Yjx/fCkpWI7S3ein+G288z+I3UbNFVUowxDqquyss5cSVZoTfTEKs+adO/oBKSj
CIrWUzqUQVKbdCyjl6HMnB+NokITiRyyGrQbW2qYFkzQ3QVJSL6XfdGIHV2Zsj74Rp+e8l4aa4wl
RwDn9Uo3GmsFBes86t9EWm39AcVHIc21NTX0U3n5GM5kzIcNeZ1VZBxbb2g3/ejuZtd+q5Ol/lft
2eBab15XxAQUJh9ewVI8srx50/T+Ha6hDyshArRJ3skIkjQG6T4m4AjVhLeuouJqNLtXI01BesD0
WsFfPdCXoPMb+23iLZYjAVbR6noZWJru06AOV0jl70FjEMid94dYxO2iSL2Npr7ZVG40rMsQQ4SF
f35kuD8vg2ffS29NseSnxAgd/PEx09nDJ8r5SFP/2TawyscSEKSYMsIMCFC8KIu8XUdpQn9m6/dc
CLelZdfHOBOE7rowKqpY8rBOz2Oa8/TIhjALyd/DdecvmRMCBWU1Mablu2VIZzu2+n0W5agPiFmY
NC/BLNGjStM+es37Qp47KvksXrvCQGs8fdKd3dmpzKAXXDr1J05SWm0T0jwhRJ19o7mzI0lr42Q8
5YDA7jMKw4M9k17nCHnXNCbj9fqdveQhyWpgLlX91eibZd6WQGQnPXGbSYhdbZI+WlZPmHaY03c9
MDOYdipW6XlBD5Vo2k07pP6yRCF0kagryF8jESmA0apN69fVustJZESotY5EDapTXFidXbBm0lgx
deuaz+YSyHHqKvcp9uz3RIfyxrHWoHU1tkVer8cYt7JnvSz4FDgApJ0MX6LBooCYxU1bGgEZITeV
IQ6UVjdEm28cLXog7/RL59notfUzX7LXdb0rVcQXc9dvZ2Sroa++IsGgd3ZJGevozUjsXmdkd7hd
C5wA7V5bjyfXrYK2AT9PAsUG7TOofx/xTeppKDC1S9W3D0XiZ0Fodu9dT2JpMz1q3bs98CSOjrsV
VuqSA1BK4OR+KNnPpYOC8a+Pyn1woZHsmqY112lEVIvt1X19yoR4KiqLGJC5ARZRRlDuUs6tVVZZ
NQQde6YuVExrvZyVkycYPjTdtu3lk5T5Q9doX7CGiWt9sOcrLrxm2+bNS2Mah7gVX6fQu2xmdfKJ
A1jC4lmmo+TbwM/31lpKilkxF/6dVXjqIiri2ySKXlMTXLvMiDptkX+wRwMdEZaoR60ekJjJuyjj
uySp0o0vtOMwdk/kCsyIB0kUDhcybM3PRxIbd8/azzgDBi13Nh3b+kut97Q7J0WIqSj4l2hmxDGw
2B5DvxugrrvFnk+zt2nyfmM547gfjV7u0JtVa8F0C569HjNrBsQW9ehwEdbZpO76xp413RVZQjdM
vhfJyS4dl92bFr5B+krxRBl3bBGfWmO6jezWOUBtfqqWiEsrmsPTD7XI1bfr9ceISpYmPywtKB0Y
6EJgXG5cOjOir36+dIm7rZE1NMNV5UGWNy5T787hp7ZZhKb/jSb6cxWxvBYNIb2/ATTcxVKxLFB+
UEt0XTX1puzklUdWbfbQqG2sPfzfv85/e4nl3394CZk3eS6HXF7VfDAVTtZ4fLbq2/+PF2HGqbvU
Vig/fnmRLs6yKS2lvBLtXVOdT9pJGw//90v89W3hT/XDSyx97A+/R48uM6L5k1eWd1s025l2jSqk
dF9S9V9eael4f666fn6l5Sf54ZXyeLTJzOWXaRQ8yRIBunkcCuRQwViQ0TB/m+//dpfwcwP+7RmA
CW8TySaEj0/n55fro3Sa296QLHefDLYkrnMXxWeqePr8+/0jqFoag9/3GodS/QfL+vI13/sMw4Y3
R4uBHdz7xR/FEhXU/7JIYMPKEoGP5/ctAptXBw0KA2dWnD5qjz/7DLFk4FCxexBUsa3/bVHJz0AU
mw+Uz7aCn4F4HLap4pfHUcR5DeLQ7U9F5oDnqvJkM1UF1di1MscZSWrix+HsQKEZ9Rir3ZjJwDZ6
k/2AMFVJDoxKRH7WeEmjLrE828g4PYCjpKYYk9MMXFB5LHYQ9XFirSwrTzp072EKi0gL/ap8nltn
sK7cYfDbcuPq9WidTbYtu2ltaE3avUCMahmm93iCO6SqUGn8jlI2bndpV/tMqPX4wNAHrqKU1n1T
1dh38S02A8CzlZWlFOeNHM+SxUuCqak8uXk23BhOJl/10raJVE7j6HW02mmbd3pxnjhZRTFYhadU
Y4iLyzjes9AGvuxJoa4N1wwPyKflRVYSEWNgqty0GHjIImdKM5lm++Il6CnyHt0u6Cwbh66d9ndQ
UtD5xqX95s25vxvjXFJDk0eAIXSXa5a4YVCUB9PicMoHfbLQ3yMVsfse24yjq1OLAX+bkcCwtWoD
uWnX4TyngRGvvE39vgl11h9Gzf7ShyL3LJask/j/sXdmzW1b6Rb9RUhhxsErQYIzqdGS/IKSZBkz
Dubp198F5TrtpJN05T0vXWk7CkUSwPmGvdee54SoOb3T31KqrGNXNeF+QtfxzGLUIE5LR4VfcvTP
Iu+uHVktfKTFvmIQfq8Rgw3pheCJM1E/LmMTGV2mJUMmnAhNt5ZsGdfN6k0yu+JC3ra1yyvoOe70
SUYNp3fkvdkJJ2rzpSNkyW/cpIBxEOtnkCXLPClqUkw5bFy0JVSHklohuMdqboz4c9ymyiOi/f7Y
kOGD9n0GSK8IvwJo+30wo2wnyjw8jDI2+d0SRznHga2SENEQtCAnHEBt29mnahLFtgxxBZlY/Fej
BSpmNetucGACZn+hMXgCcaCfdEWUV379wFeI6j4ztcEcUNfqdZojoPpiSPZhjN5bYpynYC2nu2jJ
g+qbodpMcTduwn4O/AYOQ7j+98n6OcUxOYr++sl6374WfFevXfPfc5zlJ388XzGZLsNt1Kq6zZLj
d1ta9KrL3Jtq61cO9n+er+IXZpsYL0CJ6GxxFyndjwG488tSLcHoMohSdnT7HyFBeFj/7rhfkCCq
ADGyEK5YCZuLdfbn456odyOtx0xeu8lG/5DoJdxNzVQTWrU2z24cau3WyzPrYuFM6CKBrQEbZ63n
DBSAYORafqr0+iWb5CFrijsSUABc0vgbSXBGm3PGFpF6PIq2oYExCOPMKVKHJ+77j0+tmaRdhmhg
SyyCs6/ltEnRnK06Wta1bqKQyLig224Rhwn4UEZfaG86k+cRzmDmD2EvoP4y5I4PdFBtCGdDwS6o
9ti6VzluI5u+RwUYZPfl3omdfFs57sHOxGw+GExM4lWQD8QLuJ/Je/USwpcscXwdq0+dzehnSh95
fc5ncl/2meKHSlZZu42okx3P2J5s8jpUqw2hlrAWsmF862wUuQOzBqe0Oo9oqK3o3XpbxjZBAzJY
O0M13iYiG3yjkzwX1MrTm5a2N4o31YzpMHKNjQz6R10Nvij1vG8d5a6nLytgepgYNHqlPY2DdXUR
AK1ECRA60+/IJHktFQlPzlFIR+vOxK4U8C5KeJpYqhAh3fWdskfSsSmC6iLC8rsOkyBXhp0Wt4fB
zndhUJ1IZL7k+njpZP2mTs2dy6NMT+zH1O0xaTq7QAuvdtQ3qyor77MSg3wRs7NQt4PV3NWtWBvj
gPXSfMode6W6iDNFcwA2QrpUbuibxP1egGowM7JZh24zMDVn5AP8pDkHcXPjpu0LloK1QxtVKtqm
cKLLLPMroI2Va82XojF3zag/zYM8Y4NZmXlx4bv0ymTw3Si6JIG8NIZ7nA2iw9r2kFg4E2z1K9Qx
n6XNuTTat1AKsk/56kOH3rFGZsNOVtjjCTJOi6BHvXR48aYqudS2fltN7Kpn5dGKjD2BanzDnVyj
yd43GjnbAFrcoPpwTRSKRfbkJNEjz+u7NlL8oLROcIJYE+cXNQHabk9E2prjW88vgQVIYx2rESI6
H/DoeDV0kNDRfCUej8MY7WUD0VxM9Uft6HdQGO7qKQVmEPbWrWPV+CWH6GIH5nmydDJqM+RheZph
CmXmtjTfWO9W1lhdVds6DRqXVMd2I+sbhf5yKNdl436bwvGijgymcuPECOV2rFp7PZZMcrLMWRtV
9RXsCJefYcNuDLYIXidfMQIKouw8uGPkcyY/pEOwMRTDWaUmQ0+dYoFteYGcNjcXBE49Lu4s3MyR
dg5M886sY7xCJhG4ycg33ifuTVIq2wYfbInxYldGqeIpjZP41aid26TbsmDxLKjq0GC7DVcH35YO
psHtmpsqiCavMBtU8UQYR1NzzPL4agbpyaiUrWYgaLCrS6lDDaG4eS8ZE/jQztZLy7kmZ44Pq7Vv
rUzsJcSRNQkoxqog4h2l1tgyXug8qSKQI+YO5F9cnghZB33UKl6uy+fWMWHz6UQQKfl86TTjjI/r
m21UwAKFvgvKwiKxEW5IkfR3WCW/tAjsIITvhNJlfjYVZL7Fw5nox2nVmzwBcoUO1S0LBHBVgOo4
Liuf2ctJVpRRjK2v4Bwfe5t5ZhSND6Ftcb2jCisUgKUiRRPBRxNVlIEGUEi3zwvPjSOXobkynACt
Z8eIrCrv37P/1w0Ou4a/PvuPH/Wfrb35mR+n/kLx1mzsKbbDzfvZOv22vVF/IaJMox5QPysCjvYf
XRWt0+dKhf0xc5HPWuHHqW9+JosCsVjEEp/eln+wvXH4zX7q8Tn0XaY7EPdQiIH0Zsny+0Pf0coQ
odDcXpzGAb0EsgdIUATa2alMd+v04rUJwsGvSouYp2lOTOWQN6LD5ezEevLCPrkLrlEgu2qPNhv9
YdIlg7oBIdQ5NyWD6uGmGMpLaaTxA/ZFKCxE+DlwYObmVhCH9dWA7307FVO4LdWAXi1kmhVM5C7S
3unmHPntZ6VaoT3t9mag5BCBtM9EwBzuIgPNEdwMTkijs5uYRI1ijLVDng+zvA/nKVXYsQRLBUM4
1daF4LqOHSyXY88TrpZDslXSqdoMVaBt+xRRzTBW81ZN7frL3EedtkvdyZ43RtNN4XrS3XncZB1e
zHPpLP4daNQK1vFyts/d1EScBrq072PbrrnbCb/c2FghtvAN0/Y+NTK4V7ZZZtcR0a5O+cH/n8JG
Ps+D6SarEiZQgsA2ks4eToShbv69RX+9RZmy/fUtenpNP/67MNf4mR+36Kd8Ul1CegUayk8h5G+3
KPJJ1yQAhni/BbuHRvLHLeoChkEr4rCJN+DA/LRgNcQv9iJKcaD72QaOWPefuGkAzf7xHkWkbrv8
uYoWB6jjHwpzbDJcDFVhXdM+C49KmFfB/TimRbWz9TjdDiQIYMcF1lWxNYCElO3NmnWU1SnWLg3Y
oOWcTkTTqC4a7ozs97Ejwdt0OMwMfM7CYr04JHGNDKI4KG5inZ05qLixVN/OQ7QP8DzcWXxYiBgo
J4DKBAEMWM+Gr16MwxFNh68IRBs8Ebq7tm/2ej/aX7MRLnGTRO5mwFecqXI3s0YZ9PCu0jjbVHua
143OzqfI6107axcXYR2MmdvYENe5Enum0vdgSraKbJ6VUJTHIpDHKiJ/MDLjveYOz1kbekKJ7nPd
egxjMa5YVUeMUoySoUD4QlO+N0QJXzZ4AYfw2kUoMaeeUO+07QciB5FmxKYDspX9WV1jSXake6wM
FmlpreOZyS4VFmA81yEUdAI4ovbawnhr+aBhIEhiS4aBgPjykDup4+Wy3VmuIOB+xv6qo46ZyTJP
8RA7paGtDWc6zIHyLOroFmItaY5tsu9CSqTKaeaNSxUixYKqICPAS8gEYhDzkvJgZNwgPcuA4xxO
GTGAZfROWHntTaVmrQukkfAQD1noGttc6JeiNHUSV7IIOHpNZEtkIhf53oHa3tmp7W6Ib8VrS/gu
x9V3ZWyw6LrutVqcfXPMlqd3qgdRCzg5braDYXibhc3O7dGKmBgHkrZ0PCss0tWohtPXqaBmDc1v
DkOaTUIRR/k+v5h1eYDV83VU59uKRUlfay9DCb6hbhHN5yaolCGFLYZuPHemXdqMLrADreHwGKAI
UOMpmkXATRn6id69TxG+dwaCvtOn74Q98PdJvRDtYrt56xkpnxjDsQnNFzdOi3wgWw+LR4f3D7fm
07hDJjsmnh43Gqhw4UCwAfLKN6U7LAWpHsmHXj7xGeMQOiJiyfCl+i4M1YnwBrJ2ijKKdlOvXmdu
httJJA58YwGOjFkVlG39YBiJ4WHzXxkVPzPHpXJNQhKYnFGVG4OrDQZrZZAbpU2Yi4x43LMhtRBI
yfggxDhz1FrDBtxCi+RgQP3c9/4Ak0Go4RWMBgseXTsbXUUb57q3+OvCdZMll8qG8q1rT0wzp/ta
g8ZdaNSuegWqzNDGtRbU5UaQSrCqbSPF2Q5F3ISgOKJ7ZiLHPctQgOtGd5W1UxCyqA1dfwH/QgKi
BAWqTOcUkWvqstvtqhqURsbSU4+bt7pbCmvEZD2yssLuDOpLcVCw2Ry0MBNrScbBAh6ov+qUEisL
WtQGHDTRxjGL2iJyoFLkdekrZQbQqJ3V90rTn5M8D3wa6oHs5kFsixnHSZoSAC1ziHCNkqgc05VE
0rx8v4Gdr2YzOFZutM2G4RJzR3kD6auJW98Sw0z3r1i+FiLEncjPyIkxki5u9WSumey5whuXdtgQ
Hd8Qsm5IEj4grcnPi/w2smKGDAuiBqzPUYRduBpobWMrfQFmsO2U5n5OETxnGVTEiNjGQkvPTVdj
VOzyyAMEsg3Kcmd3zffQCBbbjezoYwk90NjJ6mcx5g95k2QnN+pvCj7RFdEa7iaXUENDIJpMYp8m
u/AHszx2gfgYpa6x6c4PbToww9NI94BK82+F8FkhLIKhv64QHjoJWb/4kyph+bkfVQL6VShorCZt
yoHFH/6TDEv9xUaYhXBZN9lSLAf4jypB/GJyenBy679qtyg7fhTyNAaIucDGkmGHdop54D8o5G2L
/9JPlTzrM0Z2qGsZ2hANxDn3B4+ZhgAzJ7Iyv0JEPLBoXR7XPJtID5+JZvV7nB6rJMjOFKCpb5EO
qjJqjgEwRIyCsEys3UG/LTSQXIZ2IHf4Ne3gijYLWqI9j7PGOMjczRF29RQykxc54UszZbd9EKQb
O88JHbDBiC54i4DNsTcDmyXGLkPFmUYNIqW2eJJGdOzYX54KI78REfeBS+TxanYUr3bTNyg5vhFo
N9Eor2VNdVK6yfOg8cyQhX0VVkVD3JH1kGpDfO1s+Q2sLpSXMWq9GYiRF/fku1qTOLWtszeC/MGY
xo/JnM9gUN+yoHkYpl6ukyzcSrs72sgRVrK3r5Z0DlmLpcuNrEeA++tZtl8HBLPNcujxUEXC64ob
062ZKkg2R+mFDFefmVTgddYQe4mTKSutVp5cHmgrSbiZaiUnwtqY35cIQJhV7IsFoJyjWPAj2819
BWnOCAfG6ruT2YFIK6tbIDR+ngLlc7SrY7l+Z4x3GI2BxKGRNfCGGBrPlUx57s3gCUK0b3cduNV+
sIjgyd/iqXssGXBC8O9SFhXJZer56KoUlwtceZB6dv6lMvdEA4kFy8aZYlQOXC9V+MHAboOp5eBN
XX+PQmbDP8c+52u2bqviS8evEVTz7KWxMhIWC2ErVvlshMZgZDpWPd9DkrBTT1Q4Z3ISGO4I/omF
PA5D8M2symRFV/RgSvtOwbTuKa19cnMZoOF1Ig56TN5xHd0pVrDnwWeeLAltbqySBxEUnIExZsX8
No/Sb/grvoQuEgQK8gGXd2rvykDDxYBQmQ3VGHqM0dGusDuJnYCw6Dj1y7hbzy6KjDndqma/S3Uj
2xTdOG30pvtgMl2i0ViQZU75jDJ342pldoosPu0qozwK5TxgsdCaldHgGVaom1ZE+sK+0tzyPE/1
YzWn0Ow64TEsB1sXKxoGCSHWeVd06JflUZXsl1jM+YCXn2PbOVmmdVf0Es967ELp0+YZQh8uwCLA
heNOBVemoX8ti+pe9HzxFjX3xMxT7YJvQa9QS/bWnVuKuw774ABzdaUFwd6hJFlZXPQrYQt/JIfF
qzXM2KSQo2XhQF0lVc2Uap5eQ2NuPKuhssn4RFetUhPXo6xpfOnyORO1ZX6Gmn8bz3q+IYmaObsW
ATztw/mVlvm17dnOj/1DmmnrbhQ3qa4D1AuZv6I1o6+IlS8swYpVmyGln1s/mnr7QATIQHkLA47A
XZyqCt7wIJ8OFFEbWZYmOAndQBJtfuhjc85U5TyqLZJAMRUbiupXZoo7QJO4Q+2FDuSg8gNF4aym
WnbUPMM9LDQJYRyKXKCHzOsMm9+nh8I7dFyB/Pl3PQNSN1kZLYCJfl1kyl0FMafJuSRMO48P0nEe
y7q6NMgfqKzMj7JUrw6coCYZ7RWYaJP0aNhHtoZ5Vp3rU6Cp27Ew+bb5xI9VwZumNeshbBQvZp5J
Xyo8g+lOqD975IrEde8CFo470rVeKzuWW5dHo5nGfmV0WLki8zy30bXJjJxNpirWbK3vhyTHWWbK
m6pRt0ltPpQzz0rJ7jOsdMjmol6RafQahuUBuyoLEGK6hhgAEGqdR8WeNY/komqTUaJTiHJRYwZ6
wbDwUrfVXdSY4S7MFAR4WrfJecCtzLa7LwVYqjrl+zUUMjEXLMIAwwrOcf2WkHuCC9WTkXvlQbcN
qyhf6WbzMAXDl1Rvn+pKGGvW10+mS5akphOChL4AZ1qT9OtYELkzYWcG8VghiUcAVzfJfWEb27lk
ph6k9AvpCGeOCEsrA0ICyUlfGaVN9pv+pbdvh4ZW6nmIj2Zk3EKsW+Ew/JIo+WOMdsvWinZrF/Ki
lxKZXqY1gB3sD40H/UYb3Zs+RntZYZfaKdaEc9+e4w2KNLJaTROe6nBqyoxBu75zxozHbzxtUMnf
Q/U7RpKaMg67J6elg1ar9lC1l2Xz0lrdskRArDcZ7ECkG291nNSeVcdPjM22VIkEayg8/melPrvY
q/1+6sBktiOqLs0wyDIBGQ4jdTOU4YEuUkGxKCIKchm6FY5f8jFJqfqAdRqdh6JFHRvyxHaeEpkP
27qNWWK0Ffo4Yp9jL4JdtCLF096FgujOGCYcz69D0M7uVTNqeVVnhWxONk170tcuqPqFeO3MadrO
I3K+CPPyhsMj8d0q9HNLO7ML3PM0OtjkNJHUAXOiVea1UpvGl9gpeUL0ODWAOu6iyryYZkN2QKR+
GJP6EUzhG0dOQlszglVU1rlw1nqq8tb5HRtDk+t0zN6JTSpWVhhtdfaNpDkZPB5C+zka8x5TG0zX
oYo2ldbIla7Pvt0TggR95xguC6e3Vj1oZnBHxNdOUQb9EtdYIcuRCNguJ+o+Ux/5+DnFteyjHJND
r4eOX7J4qxt7mwhSQxGbFH4xqmTO1mpJXBNdFVqM56Ida2/M7i24s3ZmPeZudcM2qMVhku6Bgvl1
nN2wdwQHLkdfa8sHR5rvPFxvWncovCziEiAe6A4BO3lypcashjxQV2sunwlJzqztCrslmy7Jrw6x
hqSURd0GVea0qceW64HN5jqC3UX71mzyETNLaZuks0v9dW5g6dH1bJ0YoxKIsAtF7jNTjNPoZI4n
c2VD2DhmPvHC0eL3g36HUP7Inbtjl6wiQokey5nQWoIVz0xoHkQK8y5oj0Emn6xSex6ClDOicJ4a
fTzLEekz4grIXwpLJdcKv+QTzBKNXOE5PtRmfR7D0C/Rm6+xMtI+lZzRiv2IefQ8j5iEivgtM61D
laJ2b4zp1I+i20311G6K0T7nGn5+O+dBqERbOG72mrCbXSr106DOSHkNg8wddjv2bD8lQ57fGKhI
1iEyzJUy1Pq6j9j14uEqvcEkKsnKC4IoGoC+Yq53jamj6FWTNwdlhSfG7sYpG2Pr1r3cwhBoTnlV
Tx5A+mOWkOdL3u02BQK7dT8XwvrncpjlEItisAEHe9kdQ13YMx9gnZx9rpZh17Bm/rcd+3VgS4P0
1+3Y+fXbR/36JyNbfuqnZkwl8soiOtzC0rmY+X4b2aq/UD2hYUNGiCoIVcRvzZjzi7N4S6EjGQJS
yNIi/WjG7F8whrJs4Qfgc8Dq+CfNmGkvzdZ/pJOLlgINHbINQ2cMDBfhDyJNRdWmRm/ZjwcU+84C
vGwbi9sVBqbRZk8lTMxybN31DCXTWXCZRR4SjtbtVDia5gLUHFyL7Kmh8TBxHUcJRXR2EywZPaZD
eJxLItaqXRCdAlYn8SDsKmPX3RBO/K5R7BDG1V3aDtyX1r/YED81yJ/WggCNw+ir7ZIejmziC2Fp
6q6AFxrmQ+A5gdWv+bWl30EVpY7FlabpLzCai3W1oEdBIGJjU2zTB1T+vR+aD9Y3QP8YtG6ETEqP
HMt7mUa3IF1fZ+imyoJvchfgqbTIzExhoFq0eesO6CDtHVkujSPfBMTUCHJqjggQywpvsVuwqk2p
3ShwVunYzhLuarIAWJPagoEU6zfEK9+ohUGdHwMUGBZwa7YgXNmwYFdvhncIoojbNA7mNBI42yLc
6mzHH3posIA8AXiqbcVbypwThpL7BnYsluzbphhqP8nYQyvwZSM4s1E7HrHdq54z0MmasGhDjXIy
lBTK9tJHyc6CKBk3Yg2SfX4EXl7sXGgBeBGchHktuFv2b5ym6fgN1+V0CPtIg26pMsRbQLnGIBTy
sY2TvTB0TVEyQwqC22kB7EZYTfwpVJdiKEcuvoB4iwXJK21lKxcrQuz4Mqm+Tqyhtk1I1ZiVEfGf
oQMiEsYvYCJ2cxB4wf4GwIOreeM4IIFJHnxv3QgGsYNVEF1fvskWhPAISziDKWyHdXnGXwFxcgEO
I0j0kwVBrMIijgOt3fQLnljXq+XcjdYOM/91skCMRedYF3UBG9f6lHthN793tWoANe3cVbeAkJMF
idwFi0E9AZM8T+LMVBhk+Wh/1CWBFChULsXQYu1vuZRJzRzXYR+D7Q1J/tUU+76AytwveOaYAJdV
I5xs1zYjLo9wuFcWnDOCgHf28sVqyIPF31kw7F3wzxUc6EBlyl6ZmbmDbvXiJvobeZKY74FHL32H
kisLn09g44AwPUfVG3kwE1++U5H50rj2Lb1Iax7AsWhwPLl4481YT/AFBjjb0dMYcs/rqZBe1nU0
woTIT0Zr3DhD/jIUZQPhNMap27QdgW7TlzFc0PsBE8QxVlBuAl+Vsp0Ah0pQUt2wHTJjQwhvQeIj
OxotCu0jB3m1qsAL0soUD7MMrrDaT93oNutOFt/jtsISFO0LXRx7Ae28TY7zTG1FNGmkRGc1Yekg
J7yiAP2wutbmHTC/HgJ6BQBo1I7CAClP3OYez5G+Id34ZXDDXTOYR3y33+3W8ZsUx5jkfJVLAyfp
5PQlRq9amrtqbAcMSEvDR+cnxnAkOCBx2vapCBkV+GNUmjNGrVreI/xpvhAWOpD9qoMJtVWGLjsj
FtbXMJXWoaUUD28ItQnFvq0U82sQ2npwTiz2XjlzlTUQpSeN7NeNNepcGkGYbQKul50pgZgOCVPd
getuY5XEqnIVvnRmt5tTvMUsWXZUVgFlMtPWIQ5hgcvgVswzQfIdE6WcUoFd201mhwQZajzhcmRb
+K8znUF28j2sndvaZqsFncmf2H3vcAFmnlM6d6Tofsun/ktlQVXlLt6KgH2y2wFnVOcb14yPXTpZ
Hp3lqzbyHJcFGQMEL2hUqF7bBs2uyhRmHk1wnVJV96YWt6OCPp6aeNDSfbGQdRujeHVkD05KB1rh
gN+N0+RNB8crk/FtpEUtKkhQM8Be9DbchwvD1wHmq44nRg/rPN0JNiXFvCXPcqv04houHOAeILAN
GBhfAZGlBqYikMGI8TRKTFSlWQ9P2MlptRfCcLSwhuuFOlwY8Ifht+erRI/ZtrORn4AUG72qefmA
nVinDI4Ty11ntXMKEBDKhXGMEpo8b1ZEVaRfzIiG0wqhf9c1Dj0QyYgBbyTIZAVYLZMmSj/RvycD
VOVhzI7DwlnuRypWnIJWJVbAXK/TQmTWQTOXC6O5S0o/dtV92QhI9FCcQT2Hnq1IbUVrwBwyNjxi
mshqydaoI+4dNwXyARLaRqbnDwsl2hDtMVm40ez4bP7F0a9BSgP3BLUSR6yLwE1jXOX5zHIx7aHz
K/E9PMLXCji1XvFn0O56uNWpwVet0lnVHUhrB7Z1roUfievuLNg3UuFvAyjYtEXfSqjYuR5t/60n
P+tJnfLrb+rJjwKWbPxn8TDLD/4oKVEBoIQBBaebjPg/i8PfSkoTiNLibYb2CDtkwcv9/3z/00u9
ZPm5MBx0g7n7f0pKPBNkSKr/777+B7N9cFq/KyeX2b5l6A4lpYDjhD+K3cPP0lyHPbcA86BcabcY
LMUUD+b8EQwEp6cWVLHOUH2LgVQ9hXkGer2s71y2Abe60yt00o4snLuQYwmJIpuwdddo9ROnkDO9
WwrDYJtcLfpqVmoJ/MlVowsmOs3APwGJ2kL6XLBvrONGovg2fam4fs2urihT9T2sWN9V+lj6clnp
DSgtmREyd24l/66xrP66VK+/lp/rwGUxOGMrOgyFc0gSDMoD20NooGS5sk/sdEJcRl1d9cuqEQwP
y4MFscMWclrWkbljbSLX7C9iWVXmdRJuQPkakMrZnaOjw++cEq+KQWplTFgbBcSMlb6sQGfyqiGv
NTdJw2yVZKbspV9Wppr2FJukwDRKeomrMFqzqblN5pYgK/atk5pgr2bZgATvvYkBnQvOOLMl3EMs
61pnWdzitY4Pxecyd1nrci6qm+Zz10vw4bASywK4L4W+4mtRrtiekWOyJyatxPBagN3VskJOezne
zstaGVlrejuyaZbLytldls/IlvmhdJ5jn+0EIgjPIHqOgTsb63rZXc+fa+xxZAhJKcRyO4miGflB
UQb3ZP2U2/6TacmFXeyLuu+3ecPaObAVcY5N/Cur1g3OKdZGUZy1qgtutS56ySLMr1Fhv4Y1odFD
w7EHA+Al1dqQNLbyu+qCAW2V8JQFzP5EMl0zyijEl/n3aLbWpPW214ldv5c7CEDNWqQoXVMS4Xt7
X/eVc9AZMnh9Mt3DMOZryvOtGfE/bs05PlodgWjToheLu3LgF2j1LoB1xxjDPPdWqRwmw0FsAM3j
xvqkAdTUH6ABRstAQo33o0yy9lRXLs0EF9oVpAXjmsqqjrYp5VqRkuqZDOFEzN0Wb9HXhcnUqvCl
JkQRh2EEMA/FUPMtMxCkHbGzyd1vutKAqM1vZdc9BopxbkqHuGldKS/EA017fRF+sS9gsAjbKodD
9aCSU7gR4qNVxmOckcttOqcpku4GgfC2YgdhUyPwntE1Fycrz7/OvXK0tPiUR5wwcWcF50JQNOZ2
afhdFLKdGUMgBtm+TlhlVHxJiLoP5RAjN02cYEXl+Rp2A3egHV/HXjLBLNx6pbR9zhiVpAY727ut
BTG9fs1rMCKE1rPj/m47MY+W3K+R52F89dQeBFSoAzNDIxsRcebgdyIHyhs0yLVRSzwzh/CjyNQr
6vxHTOHwpFNX2vS8CFwDMX8vK+3Omrv9IuE28nxjt8B3iekk2yX1oOi8Rkx87brfNAyuwUuKmyYt
7oTUv7kp93CeGR+tO92ZCqR8UIznqSKFMUXizXdMrjjKFa1lHN17PfEUZMjn74BMHobletTSZF93
0c0sx2sOTAAJzz4Y5c7JpceDNPUyS70lMgVS/OTp87Qvgm6tMEaPZmXLAm3nkGWdl+AJmtFXrCWi
Xo/fbbEkYJU7BTFJGjmbqZTXolTFplDlFqsZW7AuvNFbtA19uBsZ3udSOdFw+lMWUxDoqykdvYpb
RDd1L6i1NQw+L2izjzr7kEF3B/WfK1JlUIqFfyBViZajmfE/mbwGLDMzAIhvivumtX2zt6iWxjtz
dB+yBNAkOQCoCAZ1m5u15wYuV2BAxIej+sLNv0/EAfOE8+nIvYYMHFugugmbaG9ocIDm+lnVWvIs
xL1tl88iau5CUhO7/FsxlR+VivEXjM7KMZatYOk3AUEqobmJcFOHRnRr1NFZ9sadHjBpUAiCqlV0
2uTOqOpOcfudaBRfjbL7BFB+a2mPNb+pg1d6ZVvlJlCwTqmdz614aVzha0ZzMIKJF6w2ZGmN3lg0
a1mxejBN/Z1ksmf+U4wgAsh7jVmCc44qUJgsL4vhtSkaCHHKMWvlflacjZwImOrrFEMxh0RUBhU5
CBOkN9vZ6i3M/6742qIIm0pnz/QIMhDKLNnWu0JYe0TxEoa6u8U89zzU6pOskzupsF4yR4I2Oj47
dxMW7c5pLa5OZ0us9y3S1WM5I6RSuvssdnZiDK7BAqw280MfaOdIYhUoOhzrGbE0wVKcshUbxG1C
6qqhjS+lna2ZQ3ce7PvHoLZvm7q5Fo11h75JXWG2u+/Ao/UlLWE9szO0slNmQVkVlYrXJDzXy4Nq
ls9T2h712iKzBtQE6MDEgCo6LEVPQclcPNbldNB0eVR0QhqI7QhI/Yyz+6YxR2/W20PN0GEeBo9U
Dg6e5Bud52PS5lS1sAxWrtO+mBYaHzNdJxKdW6x9s3NgdG31nNbRHsv3lecthKU6he7YHK055r4k
h8WbVe0lsprSd430Ia9bPJBjuk0N7SZJMWSk0D0KORiYIDGZpDYrRSXfxLMkb4FOJxxgW0/6gtEG
JF7c0EBvk2A8jMX0rVTKjUJQRoupE38gS20UDKukdzZdF27qSCk82nxK8g4jE4cEEsVdr4hvfW/5
uAi3+Et9MA4bIHs8f1j5Qema/TEvjlMbHuvWemCOBX6qBZTdkIgcp1gbBuVABivXOj0EU+hak/tM
ac+zMrw0dfneiXoTJo3rBdkIO5ZmLVc5/n4qaW/+26z/3+oPCy+iTno0Bl3X/WNqeTvUdd3FhXJV
c4Yq6UqysqU5+fsXWRy2/5lq/lqGInOBIWgg5iJM9fdlKPNATCSmplxH8VYzmOheRom6aZ2jI/v7
V/qzgvfnV/qD11cGctLmgFfSwfmY06p0wPDMe8mSr/saS9v7+5f700+Pu8kCUappzOJ+/8Z05iyC
tUd40ytf2+5YkSydvf/9S/zZO6JapljmZQzzjxPhwEYJ6JIpewNzJhm23TRtMsJC8pAVO7lM7f+A
N/zJOzK1BciE0xBpoP2HjmGZzemT2sY3cRGuYgMCGAL79H+8p4XK8Ifr4Xcvsvz9T4CAJlBayw54
kaRGQ1CfEjf61VL6l0yA//U2lr//6RX6dm77Gi3mDbNI3EpeKh8C5pp//9X83vj4eVn/7m384dsv
0ykt+/9j7zy240ayLfovPUetABBwgzdJn0wmk95ogkVSJLz3+Pq3Q9VVTbHU0qoe17CMhEQmEBH3
3nP2yZroctRg6Fu4ZS7xMrDAPZFObDcno2t+ccUf3RY9ceSlFrIwkIjf31YSuVmUx3p06VRXlQiY
Ue8d//3nd/Wja2C3tqVt8hwQHP/9NXzL1Gy3r+PLvAmxPyHvLJZDevfzi/zoqzMd+MFQzUlb8T5d
pBhCx4kiwDx1+ZTb+DmpPVgMPCKLu4OkSTn4Vz+/onqmPj9zH6/46ccKPQ6zpT7R+x812vwPaPN/
sRgoK8CHSyikmaU7Em8NQjqb9/XT4tMUEqrhqGeX8TlI4T2b5xH99dq6Cq+tJXKUDcSZzc/v6vtL
/v4IfryrT5dkqpONgPriy95u0Oug6fVYFIrdz6/y4+8Ou7BQQJffJYQf3iZkILbTZiK+9CvEMbR5
3fYX35369j//OszkeNo8UKvwY79/6MrGiJh8afGlQ+k7uQanzS+RJI8rjn9xLz/6xj5e6dMCR0Vc
1Lpjx5e69Ra6V5Z/U82/WN5+fAks17rn8CY5nx61SE96VxJkf5nnJ4swnZF4aKOzf7HV/egV4mH7
8yqffvqk7sN2CrhKlLyiwYGJv67lxkq6ZdJeask2tX7xG/3ltgwhHQe1KG40rN7yk+ULogCKDadI
L9t+W9VfBhun8fXffNA+XUKNRz88aDlwMtMOq/SSJNKFriFei61ffG1/eZa/XULNcQUHHvps318i
HkdsklRal036qs175Iq/uMBfHmUugJIFl51F482w1Ib+4R5YOp1Bz+fsknNe1jGMjfcR6TC59/bt
u/qHR2MYHx6a1XP7/O80r4vn7O3//nV8q1/fvv51yq/+1J8tWUiVmCPJwoYGpPgIH6b8+m+gCiDP
0A9l1frQkjX/qqv+OOWHMk3El2kCk8TZ9Xem/EgDeAT+s9p9m/I7NidGF1GBAdfh0zNoasja2ipJ
TrqQbX1GCHEpUCFnUmNylzjKdVwjVOyquLrSHYQxRkZAULYb93vhx9tcjXdVC4o8RLo65aIkIRHk
Q30QYBjCR19NfOwWr83EwXVJZBLjIGJnLRC9u9Kw0mXE0IgM6NOoIVQDEfHs8yAjOksOJYOm3EZ3
4zB6Iql1CzZsRn463jOW/2ozpCrNgr8A+MouGC34Bm6xk413BYbpvS9qAx1gRg9Jzb3KoU3ufEZh
sF9IGBZTu0xG/eQyLhsyqC22mqAFapY21u6utzGFZMmw823jSaq521BM3Rp8Qrosiqpfc5iId6WZ
pWuvdlxSZX1Ga1X42CVVu8ot4pYDZb2eS6FvzDCHAKGZyE8Huw13oNUpgasS6v7CwJ2CSU1Ld2Eo
ynUiY2vb6Hp6wCsXXDutMz7YPXbWwgFV1YyRdYqQfywDPdIvponG6yiNSxKQSEJpUK3bldNuQQY2
m7DIdHoGGZc2YhekW9XucpzlcP7rHv+YTsMUmGJzFut1fuV3rXlwy5rKL/OmJuAz5FV0Jh3N1vde
Qmd5Y6CohJqX6C96ZcpVB8PCqeL4GPYdeAsXsQZ0+hDnjsK4bYSVXUkcLMMSkTGWtjp5QxnyUMHL
KASSAUSu25SJ4BKHMIEy2rFRkI0Q2oaFbnEM87MSCoehJefxEBWLCj6HqUAdBB+/SgZvqN8u8mxk
xhm2ToKOYoqMtWn2Jm4sK4znIyDufCGgJyVlzPxL9j5d7XDfZWSqAnDMAXAY7jqbg9d5ZNn1RVFQ
bNMhLZT+3fJygt9r65XOc72wJKI6aNjNygzHdae3Kyeb7oKxHUm6yy36ZH0MfZXWPZ7Ci9YeSPMV
FkPVIIsYlgUMxfk/sXstQlotDgXUkvRMlDQWGWEoslAHhlG/EqO4cCyMx0mNAmEqk+ZMiPZgR2O/
pAtrrKO00RYiM77Yo45UZipuBmekiTEN1OV546CT59jK3HnBBMhDleK8ZX7wNS0QUfN2LQEgQCrg
YNNZZDxMPc1wQchC10zZutCV3bcYvI3Loy90CaBQ1C02SavlKKd9E5BHsVMkZ3nTFrf/7B+/T/XY
8n8y1St+ONDjz/yxe+C8p0fBgmcZdFEZzv1n98DLY0MkE/SnAMhz+PpzoId311FJUjh52PVNTkr/
Gegp1BnnAA+JGJYdDMN/Z/fAQPyX3QOVGDRjSMyMh3E9fH/AaGbOsJ3V2ReBmc/nkKxESfvWRUG7
0kYgTfNi9jsG/Rpu8ZTcct8pmEhlqBnIbPrWgRfp0e0iAUODd9p2CDuGui7pp4IYpS/ZqrRlcx6s
lDUYgkbwQHq9Vq5mEUACXiRkPJX7RtZKz4k9aLzqYod5f6gVwQayCE6gMX8wBH12Bp+7Nkca2TQ9
wfa98n5E+N66QGs2fidu49w41rmdrossBl4vromXQKuiwyku/BL1VHbIK/9cH8b7qUFcOzp4P8qS
FONyn2YB7deAVyeyY+TFDqyxdHSQkLi02jp/xrM4knnneJe6YMVMsVVqXQOZFhcjXBmnXA2Ze1bT
/jPUuhJ1/WPLGGiBD/GQRcKiCT9dNkU+bQa7t5c2QU0kklft0nTmcZW0tFsFRtb1ZNE1BJG0FlY3
reJOR4Xn9l81OR6QYzDuZ6BHaLX+dRyBw3YENsWi2kUWDXUQzuexS3wentP7zkL2FFfoyDtO8X3E
YgF240bDslM5nUFSuQ/jA02gD45tT7FJWrssLmKjuIY3v+R4fohIowkhSS56ZEi6A7mrS1/kVGIj
DftVazIiTZNVGpJm16MXl+jGayUgJ6icjVGJyuu0SDauEpprJjheJT1PlAgd7dJWD4KHLoeAliih
uqkk65odXBL6GS2k1y51hO0KeIRcpX4IlOZ9TqzDhAi+DcY1rLQeaAtshDy+DvL+PLLIQlf6eVsp
6X2lqS+Vur5GzbwUCO5Z0J21W5lvhdLi60qVbyHPt5ROP0Swn5vJHfXqfYZIuyirkxaWdPWV5F9+
E//jAojT7J4o+ZXi+XfCfBLKJ0AW9rYf0psxsfZIiwggU6Of8Ju7QPkMZuU4KEvGLKZyIYTD8JA7
OExiDAojRgUdw4Js2HsJUNjmWBnixoL2wuTRalHQMHBADDiA5E5KYsz1VaEcESbWCD8mG6hQbgmS
ivaB8k9UGCk6DBUMrr6AhouW+AZihN24LmC46liDurteOTJ05c0oMGloWnEmHO85/+beUD4OA0MH
7aJNpAweGD00s7gcYMNQeZo3UnlB3FCgMwMrGmATQXmvLQFrbMYoZYzt5FvM4M9ZMI87bOPENOM2
0UJ8J7lyoHDgKjYtppRYuVNARBW8ZbN78ASRlBBNt4Fys8AU3GTK3+Irp4vr8YFtzC9pM510zDC1
csUU2GNKbDKMZMIzwotgqevjWxJ517Hy1Nhm6dPnx2fTzNP70GfAopUHxw8MuaQx4SLMxqGDxrCg
Jd7d2H7Co8OxHWOfhpiyjNBiT4W1JO9zlwTjsx1iAmrtPF+PtnfsrOoI2estYZi4wldF2KTSolmI
0mbEaTUitaDAJzQXT/k39RoyNkfp2UqEbUIp3NxRQ+ba2UzODLkPSKNYACHD9GTERx2JHCC97YRk
zvEMZjL+IUvjfYikzg+r91Zp7FCInk+I7mytvC2VCs+cOEAKpczzlEavVmo9IiLWjtLvxQj5cqXo
c5S2LyWFx1Jqv0Hp/qJ+uPeUErArCLTolToQC/rTqPSCI8LBRCkIiXcoCIAyEHUiLzSGt0GpDcE3
ROt8kofQzp7GiW9U9xg4Da2xJsn8/pt12WzIoJI0SAJkeVOCSAka1l40xSs5heCbxHuv8zCUuX1b
1vxgg9SBvactzJIgrzZV5lz26IYxMBNfHgwabuf+guHtNbeK1iM8zVjFmZBX7jLoNWMxo6V12NxX
oSv2YC2ZKPvuuJeDdWOU/mPoePO2TqO3bGDk5cuBgFE6BAp6fGfmxbykST4zVa4VOPOfU9LvpyTa
Oz89JbVv9dv0gzqbP/fHSQkyIconmlw07dRB6cNJiaRhgCM0WWzbhrmtJPN/WJvt3zwM0cxE2f0/
5Gh/w766Hk1hiY+Evpb1d45JwFQ+H5PQzZnkaLvU7ILq91N/LCshnE7K3pKZc78BEoRHSzhPDrVB
4XQPSP3ukvnKn4hvrfS1UblXXRvc+emMmcfEaloyn6zy6Wifx4H2ag7JXaYxOcYGFW+nOn+xWyRL
QE32ZRbvRAAnlq0FNVUNoKOn/jGE/kXL+/JFb3N8uH46rFnmfPTkMbJRCBN+UJ/lKvg9VgnwDLhz
EuFnhuBpSUT8EFXPE5nxXmg+17b+OKowebsdj+j8iJdXQfMlifNdh7LIUiH0k3C/RCqWPgcEstYH
SB2CzHow5l+ECrGXpNn7KtbedufdTM59T969RxDDZDs3sAUTUnwqr6D0ioe7Loye3EjbDaJ4aGot
OHOMcuU1cpnlPURYsaHdcTFO0YXsZhbdWrkIwq8FrnBOj0iM7eHCiwbcqJGxl8UGedginFBQGDdB
dawRirTJU2WELH5lvG2aWXUM+lUqGe+3FlkxSWwwwpb+orCahtaAly/9wWRcq53bWTHsihZbkR8p
+l+M0MQ+R1A7byTuABXzu6tIT6kZsK5ao6ECrMW2xgxFgG93Obkerj62J+H3+TbMkYpEqKnSnOul
KBxgSNIRAVw4T9GqEcwmiG0oGA2Ptu8pjfo5Q+wTBPaLrJQrOyZuB0X0+RDguZPOyrFmPBsS4Ukq
EHkTqlotAsQkS3vo4TAkEvat0zTkcrYZsAeCO6bIQ6WUoe9tnWcESnuk+u2ma9B5kJGn5HVXg2M3
S0dnqFSZgEziainJNM11zswhv5xWmncWUtmKfIY17Wj3vNL0feoWxzImjCEb78OmeSkraK76MPmr
2bbZLgFu4VrjYJLE7b6fWkIMquShiyiZZxpXyyjMrvxGmsukH3ekyhebmoJjMU/2AJh/bxoRqS0O
+h/y6vConWQdbhKcv5aeooDhPFX2iNem1LyJ5/xLqkeHVh+OxUxlgk7uDB37uYAxZGTdvEhFuXd7
9yUG3uuFAV4MA9ihi/O+iW7KTrtjdLsXeXHW1fKtsO19At5EE/mXvEnv7KTiS52Hc2nWB4XD7Pqk
hcE/XpF7ux39CKe8jV552JVesddVk3yShNSHZ4FE/lNP5qFMh8PQiEsRSoK655ozR/s4OJxZGjlz
rGpPZYfrdJqds9ozrq2oPCRRv5PJ1HGHWbePe+MkRX0MSgdhT4/oD2AMMsKbpmge2BIPZOYeu1Cu
wmC6zkUqFgkvfZKGGxrQD0HibK2g2GV25O5R5m/tflAokPZo5p4yLJo0doI9VeZVpvX+AlboMuzq
PQybRzEO5KSINF15RndN0vh5R3gXbATkK3ShH+ky7ZyOvXpqV/DOKM4Q65mp/WV2ve2g0d7xOKZF
/VNO0mBjife5CXC00tqZG/8xogimtJu1PLs2Is4icIJTY+MWFmvfaJpn2D/mdW2nBy/ozqWX7Me2
a8HweAfSdE6yTw9+MGEgL4Lj4GMVibz8pY9ad6HV6QXhJduq8C7qHEcGUSHk5gp9HVn6faR356Mu
H8xEI1cyvpnVT2i61ksJnKZoAsTrw0EPtIdR9CegFRciQVVuq+iKaXg2cC4vozJA6FVxAm/5LWrd
2uRdEG0rN/tSmuZx8ih/26jGKxhv4U0Oq8bW71FvnVUN0cQh7dJGu8Lyqy8NeUuECnbY+SVOnZuZ
7sx5blXlXgT+dZnlR00lhPoVTvDZ+qKX9haC9kKaABbi1pYgaUZjl1DSGkbwlnBCBHhaiMPkTOe6
zpFZ10trIyJz61RAXHgoyqUxIimzA7Frsu6xGaKbilJ/6oJbv252+IGp/Ab3Ph+iLfd8C97poa3C
fj/KyyRBViP6JcBV7MXZuLVkcRra4DYSc7Ny7X6npYhPZxfrtH01p/quDjy+Gv2kVXW+CBFv9Z1x
k9DBWgs6kiuXmPRFr8MsMu1jk7Lfr+mJGem6G6ro3sqilsXfdg5Gjs4yc9N+E1Y2CWgISSO35+2k
R4FieGHX3BIdux0Hxq0T5N6lm1kuYsc+X89aVC2MnmifoO9H/JjZS48jQ9oYUNlh0JO6gLBKQ/XU
gHnCy/JDjA5j2rLF9F5/Fqdjtqi06T2vG3TBeIWSKU+WZlzrC5p57tpK04e+CAwqdrtG9OXmGz1s
wNxmsZ0t6yyAcdqWp7zS28dYd6BI4BrVaHwP1lUzQKvCxkmzcUgl1jk69Trd7TldkTl9jhT5rC+j
S8NNNnKM144x34Nauw4qYoAqAxm1mS+NFFpQrleP/mDFSou0rnWSQvpk3HbwRgEJtS89vFA9cZ+k
bx77AV0sJNWs6zetbyHFaG4RxU0r1wmfWVnvhVnvEHKfhDW++bF5wHZCDxL8Lw8SCTSa+YjV/+BE
GVDc1OSEnOGHQ49VIibr2KLrCXGlXfunmEZHmhTXbUMmNC3vPfk059YY7fR6XgRJuc+8YWEVIllF
DjGxhJdceUN20xJ20xfTtMry/DZPcS1nWnKg6NwL+AvgK5cchbbGWO1b34OWCMLeqQ542kCQmIc0
JzjJZKc13U3ilq8Uxus4Ca5Gn5PChLZv9sN1TTVsVe1bFnrnWg5ZnYduJBGn89JXTJkEhUNyL0R0
XRsQE41o6Un6W2aGQWcUN00CgKXNNW05IUCcCNueYWT4EKQ9lQjbeeRmx/ou64xHxrXwLPRxYwFM
MxkPcLSoFlEOemVKk8fU7Oj+W4CcGG94CRPdLkj3Whnfk7G3Nd35UvRGiDhMv50GZg9x+VDQB6Ry
hhur9dFXvy56UqqAFbeheTFY4sIPTChnrb1mNLiWvrONvWjvRcLbBIF/6JP5rZysi7bUueMBPbJt
8LAExWDRWaLDRVS7vvYn2z0VenGWS/oJqWuTGCyuUqmdpy2BsVpgbpoGUbdvhfqiBvy/Cyf7yRpQ
TnusNOjgxvMRMzUx8cXDCE2z1OwnwwAQX0bVo0CSuBB2t0maPkW0xl27vr7z1NJTIbLtCy/cBXUK
q6BMjiVd/CTQ5pNm1AfiFqqVgQB2VdUZleJIMuJU5SvJP03JtNL76iaIxnJLfOGengFutLY7n2u1
a1vycdR50WJ6+Kt6RItaTfJCT6KLZEiWMpYhmWhzcw4VTqXJmg8GHq+zofavvCZ9QrMud+p1t4lv
RsfObs6c3Hxyw/YGvt0VfcTo3DNzkgfKfVCKWwP71lxYAtFsRyOjWIksOa8Cse0cCU/Lyt6Zb6Ws
5QbFrHubtMVZRIWf0A7s4XSvMes+Tnp17Y0Q1vLSuYj1ADZdvEkdOQE5jO+r1HuSo3mNhqw4WGac
YwKzycht5RPBQ3uS6LVlLCJ6MD1/sVbpmwKW9qrMAc7EKRikBr8EZlCZCfNm1GODMqKu6da66SQN
WnGmra0NPfLn+O/N+6H3ebZnG8BndQubivhUQBmREKNh5NEpLhlf58cGLpEnbz6UlZe/Dz0/hgV9
PwolCP7bRWwdKzQ6RErJ75vZiT/WJpFJ0UlMey0/CsI/NXnbDrc/vwyV6IeJ678v4zBqlcJSDS/1
MT4M5X0hPKoAwcHdeB+KO838hYzyB38/nX8dDL7SR1ifv6sG2msBXCY95QMP2s71n//253cQFfAN
8UUpd9D3nz9wVIPWqqCYU3dYl9a/84f/q17uk8rw95/hw/fz6beWdqLTvuf7wXunZctE39TOStJv
fwPw9fNb+cGlHMpuJZKwUBN5n36K1KVfCGU3OYl4h6a1FYuSRqoE4rDEP/vza6mP/Z9B+7ef/buf
RUlaPvzsQo+y3rHT9FSaS/pvFnVXu2JNnfrNzy/0o5v6+Pt/uqnciT2koL9fiK54DoQq3LCPqK24
/MWzpj7055vylJbWZXcEVaCEQR9uyrRyo2DjzU+NufHT535cW/7rz2/nR4/zh0t8ftzmxuKsxDT3
lLvPsf8ktf/hcfaQEDkSnqmOTuP7W4ir1GqlZuSnmBWQBm46/Q+LFxMyYSvFBrgmpQ75+CVBU+J8
b+vFaXaeB+eiUxOf9hdr149+dB5ixuVSESU+k/PwwJf55M7A8zn4TUs1cbGuekBejMrMXzzJP7iW
CywYQabCgdN/+v5+Qp9sIwi7+SlUNfU6UoaptVPRU98a199+/H+ERRZNyP/e8rwlg5QK9q8dT/XH
/ux4Gr+h7WQUzzpvePZ3YeTmbzZkkd9zWHhn/3B6klGudEaOznOo4KC8a3/AQ0g2R1AHPQSHqKsM
n3+r4yn4XB8WBmRFjKU9RisG/VWAZ5Z6qz8sDNToxFFVTXaZ66Uk4eeb821Sg16LSYPyxI1j37s0
oMrXqscxVjCwQONzw9ANqoXzMtF2WJddgDswA90egWFTVu9OOheiZapJoEHK000lSxxnj4loIv6x
tDvsMcGFpvkJpDKgiiRonJqp/arZiZJ1DF+hnRfrkOldx5GMUXV0GCUJLTzQRw1hSS0KUivhu1+E
LTSB1ue/OVP9VSswldZdrRoG5NUl01YY7os2wkIcWjxFY7BziPXK56QC9hoyH6mGJ5AYd2k7keuU
6Dem1T4GrmVssYq7W04g9ilAALrmZSamw0pqqHXBM/mkxZYlDyYD/FdaH6dCgh8JZ+NGMENdhF10
NRriLBPWm2wxp9fYhTDjS2NKljUFxugah9pr+b+9XSbqx86M9sWomk5J8Fg09qMXv5gDh0tpvjae
91obzameowerGF8T6WYrwwRKBIrsUuPDAlobdlkI1CFugcLNWgcbNolumsi86ErtYjYrXx0ZWQgM
4sQxsGf7WEdtaOmUrYOQl8pFeKiQPC0sLXSWhL0f4tAOtrHW2ZsqSIkU68TabcY7u9HOwEXXtDzb
M7dgdIs981RO0ltOCSjtuswNZloqfiYGhRR1IY2k1N0mTljTZsj6td37bECdIRjd8V+dyaChMNz7
rkNXqbu0RXcScAqWmuZV21rmiHoMl7oy2RtWAA26BVpMcBX9AVHvM82ql7WhUVVZpr8civ4AJodg
5pmI2BZ8nFZf2711OQRiH8QOXVUj3sq4uMtaufP0EYTebN+1jINFFtw3RfuGlp6M0xmhE4oJMIQg
fzduNz/CfitXgVGeMTV/0DqU+mkz3GkeBh3+aLqeU61am31yM2nGRLfJZsynF+9Zw+koKsqjnLxT
Ium9t9NoLNxigKLRD+vRhUEKsCPgXald/E0RbdzE2w0tyM3ErMfn1odMIprSX5k10iIziR+6ZAUs
4c5sIVy5XuSseddWUvbk3bRoy9D+gDgb6nI36obPkYLWUTkcJW2gVRZH5mqG60NydLie8orcGyO7
iJSCAz8qbFPThEQWzMrE+JyMFQnxpriRNO6m90SQS60F9XXhNGvwj3ST8Sa6srgXtvOODBiSqiPf
61k8eY13Lob0opymGwPY7YLmWLi2YbMtpgwSYNc8p6DdoXfs3WI+k5ToMCQh8fHsxQuXwUHtTu9G
U38JtO4wFO1VWmpqlJFsorxdzcl4NL1+XCLUSGA+K3Fjl6giPQSw3rbvpZI9pONgrFB4PEfIjx2W
aOhpWoLcfQQ6P7j2GaHioOGwplPNy0dWXdR5U02XJbVfWyD+C50uwYoF+UBdPGJV77pNOPdnYONo
mNXBtR2Oz3FEpc/wh3S0qknB65CK0kiY+XghqjBCyBiONy1QWSr6fJ2OTBmqhHZpnls1L13BK+Ha
xxRF4LoY/YsipfsjO39cOlpwg1gNg7Z34/lyZ45Aaezco50wpXBAy4sg0KsNbLL0sabxzcSjP9dQ
HC27VL3YVvwAiwrXfT8A4vUGuQyM8GXMC3z8EgDHkJ+xoF9Psuh3Fb4AIPndVSl79DHK9odUdgvj
D7JTY8LVtnHEuPlZ6IO6TKr0vAn7q8iSOdJFBCa0m3D/16QnBSl/tu9vLDt24Zx3Lw2Tg4VX1jiG
cyOkH1Rpy2DW3mn5sF+EdbR1PThTU/FC6DJkl5TBvczgEqaA3pTQJL8Qlcf0vagedTfzl62L8COb
oGTS1EWQCBR5VbBmW2UuQAeJdoMn86Xzooei5EEiW2uDqQ6VED/5gu2OWZkJIb0FLL+Bl8x3Std2
b5rDzqNqhh8oaQQWFnpQ2d9h4bwa2BMR5rkFXwyAQQ544Ey1icfNVWLbmH9HGzM6L7V5WCEPPU4I
Khb+4ACOFYD7tcS+s9ppq5RDVmFdxkH5Nur8dY2MH20bj+NQ03uyu/ycCWWFwHA+sv+TTOrkCtS1
b9MSS+5kdOvEFcVjlcbpvpmrO9gB1SrNzQdtkqc2ar8OVbqhW3XHZi/Q9jSwZlxv30TByYmqW29O
dhTPBGyHNE0JlWIYIdHPImFyyA+hMyoJI68Vm8txXqOxAKJYgzEhQRK8TOFe635WrS3apUwKxnyN
roreZtr5e1FPz7bGw9CGvbFJEvd2zB3iIX3tjIDkZzQCqyChVB/jcltUBX/eKS8h5+iLwhPBGgr/
K6MnuQE58SQF2o64si9FZ98X0gZvno67OTDfYzE4rLE6RnijDtfumDMOcUhIam1UWoLp7RqzU7vQ
o8lbVLP+ZDf9hQfxdD2TxLSoEXOtwskMVrFDwpatxc8COVkSMTtpIz9eVj2CqJ7MckTW24kRAohq
mq+dSHZxAPYrciHOipak+8pQnBgQh2vbc/GrAiumx1VvegI0ICL2PaPjaVkkuBImzX7ISNJd0Kiz
llml3Yb1cFd7XrHII6DvQ3oOJoPwiw6TDCEtdMIIYm9ttFgELJHb0DX4OL07mXeXQYqK1GzIcc9K
rSNXi/fJJOR9DOC9G8S+a5yceCFJgh8MJnhIqUeD/Zxviy0k3lW2GJbkUr4NJXje0n63hXar0ZBE
LMt8NPGSd0dl0Bup8doTSu+xk9MJtV6b3mEQQm59ToA9tJ585c34C0c7eQiyjHbdSEK32xEnoWWb
wH+hGXfOwUAuXInSRu/is9KqdQbecXxhRMXer5AMuW7yFGgW3tkhvtVrN18wubt2Ms8G0lDspTc8
jJy5oIbM5aLFhbyuWjNYThaI/CypuB0gF2AzauBQhTy4VXHpulOB3hChHO/dO72qTLnDwdgn5gZJ
32PZq7iHWidrgkE2z8LRtCPAkFZcgw8pb+yI38iinuJ4ObJO1/lxlHW+qW0wXG77GmcogGi3PVTj
txwIcTen0dk4pbcGSsfV0LCkOuKl75FtuQMEEGa0wwoq/HnZ1JtcjO6CgDuyxEpR8NTGbx5n47C3
wW2O+duc1WezR0gKMrE9nbRHgJsryG53Zc/ct+GU5yQsfQg3iVH1BmdLdhEfsnO2YqzfCQ+tWIPH
JzPjzNfHxJal8SOJfHvf91dhkj/7bvISt91JyopU0FZfBdlIgztnpzSrHbZyRN36erTQKflVcTM2
3q6UFNxkD1aYudrZZPhMeNhkhuvQp6is+/N6LPZdVCrMQW+cNbGOpipwjOQqzWf7cSoi272oNKvn
X1gYz1aTa6NoBKvxTw36u+yGztB/r0Evnks6KW8YU9tp//X//kVuDyu78o98KEAF3VKamLgmyU+m
r/EnbcgghxkFPeWpUN5d+kJ/SG7c37C8GCaDYg8pzDdDzB81qPubbkmP/2Iqx8zfrEHJNvpcgypd
D50weDfonfn039egNfuxtHpjPpVlg2ufNvcCRD/vgzXd6XG19ZWZYGCbg3v+Apb8S2SPpJaM8tBY
fspJSiN5rgKEPx2tGS+9BVnEYOFciCA62aD8Jt+9FGnA26B3xrqCWpGM3nEwrfMiK7Zu4O262GCo
RaHpQttd1gEvYGsPN7ZFQm9r6m+anR84G2IK7mVwdFSRqpWJv3Araz0ZCN4qDRQGJZywBmdZGu49
MTyXDJ9OFk6dRVfnPbyFPoUyNm39MSFEyfKu0ji4CRhR5JZCb1sAgIK0EJgV5NtQBPFxnrvyOW+5
zmT1W2jOwdIEs4nZY8fgTGw4KCM7SCnAW+ZALbCR8qwTQbI2yiFfdIbjrZKwYg0gta9KX4KOkNSJ
j172zbaraoAChYy344z4zxHEXA/JrlbKx6D1llUTrmqZ6ntjKg6mYInTAWr66I2Wbi1KKhRULUmB
WHCwbyo9sjeTW5NfCO5tEXi1PLmpvc8HJIXFzGpuNVa6RyJyYScmSKG8XTat/6UJ3NuY+nUfaeZO
Tv4bnfKcuJwReoydrRpkRRzVIShqUu6K0Cf+M8nELXocjpqjtWeOOK5kUF5jxdmBJHKWoQVhJpib
allEjY9Vr6fIFAlVSexRNiBon0Mg25WPlpNa8hVoPfSMSse6oc3GtVcRrzlbyTq0ALiBVg1XGr4k
DsrCS2g5GhnsIj/f2yrvKnDZSgfNTfYlYVijSsXqpTSJC3DibcvpsdrVTVD4Ny4NhjPdDr8GWkFE
DsXd2Uzq6lJP631dBbdIhmCqt1C3tZLUW0Z8TdhZ695l6NTnxSF36yPB1u/FCD9fzgOerf6xbJAo
IIK+7wzSHyM8AcveLx/7xhVrMp7Ou3w8zzKhqqgYKqMLFrUgsmiwjoiAeSW0+3bQxZI6ekf8Lp86
kCcHS1HnwiGKkIMDhyoWmIq2sWOcpzZ9FeG1X+bSP/UiuSOKE68iGQqBUaGMhsa3jPUqWtdx0Wyi
MH/2RHLkVATSOgjXxK0f89TbtTSJl4OjfY386A6SY7UMtCCE4ye+mlF53yfuSgvSaVGDT3vua4tj
ofZEihClTOseTdJAwXHYyZWdyC9sJYdGd746c3Ng/Hsx66hxo1lS4VmnsSiMY15nZIGhsSjBd5vg
teuaKa5mhNd9IKito+mL4dwm2lpO7qGMSGHq42bh/z9757EcOZIt0V95P4C2gEZsM5GSZCa12oSR
VSS01vj6d8Ceqmk5Zr3v3dj0cJoigbhx3f14SFtoXmr3UU/7QpukN9DLNAzT9Uuptbex0ylcztSI
29CxuFz55gDNlaubpjn7eUGZtQq7lajBcGAXXqWhvKJICaZRcoaovu4s/uoGkJKebdQuyeZX6TDA
tVxKHG+PnSOGkBoH67avLrthPsgyeodfJVZK130vGyTZvfiuTe13WQOj6UYa1vPKfQw0IKZ6pniI
mVxWZtgSdeNdSDVYOu6a3JiyX8EP/259DUSh/3HifvRv3//qzOWrfp65xElp9yPXCzraMQ128z/P
XOKkbG5hZVimZ7kLnePHmUvPHxBpYPIGqaDly3+79xXC/kp/egYqxT8yuprm70Uu1r4uIDRhS6Q0
3LZ8F78/chXjmmmraDpH+bU5uRwdCsfV2MqHcTYGBlSjWkkjv/Tm9NabrPepTDWWEbO+GkL2hyBI
xcpt5bFJ5NkUKFaj5rzLMLlKO/k4L9fSIf/sWEJWGluwCLxFWmYlSx3HWGPDZimbXULdgfejeskC
DoeDqMA+IQFiBE0eHSKedE7QuaUDUTI4zVeFYT8nKR/zaX6ngAVz57Ijq7qHJGqva2mdIrwGO2Lo
d1kyPhTUs5xU3x6Loae5Q2sudA+rzJhDwhwLfubZjz2TG1t36Lxwi6qtgIIB5g+1p67EFsKZDrTh
hPS4na0Qec511Yb0HmyYofOJWmwrLwU1RvmLbunfCbecm0R3VkFUTXczF4GoV+ZaLxsuW6wp7NiM
OLgtaL+5Fm+kZr9kcwLvdlAuuUORHt0ikn416A2JLHqP3SL2vWHxt0rblxOTySDnlamTYYAEhi/F
fiRfUCXrgAQH5oyOQ5v1NB00RCZxxz7ow4C8D3mwohCsakVII0fb1zhwg5jjJgxSy1cF+7eKtQUe
r03SsCxfrtlD72w6MGkrWuV2o7D69VdHo4KlZbncGoHsfZQ0N6aikSuwKa+zxbQGBAaTieoe2jx/
jaCMKQD8Fl3tttUcpq67GGsA1U6c7wtDaJswKW3SRv2VFEBUEwyVJGufJss5ZiU3ncye3irdrh6s
DDpYZnHC96uhHA6dMe5oKVJkoRTZrEjtYY4U66AyLyi50FdSA641aRTTzJn3qPVQ55xK2w7SgFWJ
kLFkUTw1HGbJtVIUJSVxAVdZus0ZA8pdFIXuSrgEmg1FTzqkJo2leV13jzNusNQ2PguT3xkv+Gfh
Yb9WyQPQrxd6Sq7HkAzC2HpklebnpuZKJQiVYOJ01xC+aR5oj1nn8mmO5+cerB3Orrd2ijaubVyQ
3fH1qHxxoqH1lYk9MxEYrtI6vee4eAhRGrgZ08Yg3OQC7uSmnEnSte5LRWAYvcO5qolZz6G1EyaQ
Yta4OzGBQ+y6V9sLbg3iOK6en0EtncdSsBlxZoMQWQ8W2skvKZc7GWawTfLvCQmlDlfJphnUroiG
BQVuLbu16TpybPKylHrLgdKn1m2e564Z10Sv3zLFLsQWSbsWDbfkNKCqr5/unZmhYSxSWi9r9z7P
Ay7o4mX2wqtUjjemQaufoIpDVvK7ysQ+kx4fI7c64OXjA6gW0ty4oVGXNlCLpoxev+dj/Oy2VGnq
NK63EbgyaX6X9CJtYm24LhS2w6zRrTX5HxdiMG3YqRNiwW7x9Nl0f1xTZ36b0E612KGqg+pDsaG1
cdjmjnwfVfuWpNW10mtCe66t/GYQxOemSjLW2BclO+nr2fR22lSEhLH7Kr4rc/2bmkAXB8n8MBfF
pTkH7zpOtS7tpn2mpLZpEwORKmDLXIYNcD5shNCkP4rSnTedGyb03pQLwLHiYAeSvnLQVXgXsYNS
Vn056+5Fa+jHqNMPYdje1rgdWWiYB2e2TmOnXRQZP2WUVH7ZhgIHomb5ID78OMzQAlzrVyfGv0f+
Yon4+yP/On379lH/xTWbr/rdkU/C6T/pleWa+5sjH+sK572DnejrwvybIx/2GIQIFFj8AIKg70+p
d4kHc9EGBwxUy+UI+idSL6rxn6/Z9gIcWwASxgJR+v2Z308Dg7TlDud27LHFtclT0U+3btFD2pbB
OdOr+ButBzmCjHlPKIzDw9S4vLjDpxaKLfkbi0iXhsETrrTIU3y4LqpXVKv3OuDWNaZuvcInemtJ
au8EhPPd0KsrOiNyPyzddxTOO6efn0IuOHhbCaIZJfvDIsz2iVsezeXyn7lLwk3m2zk17vh3+Yi2
3aom/kWIbtLhVZJAUFRgtwnrUAd0AnLp97jxrizsfMIazyENsoXLy5EX0I0RCrGlvYMMqdUve9Bi
gzvGWbnGOID8TJb3xIpxZW1WXXxglmMNX+p72seyLZ27DaDB1tt0IAM2ZqJ2DqlWytIyuVeldY96
C2lB+p1pbjoilKsKHgAlAdNh1mNr3eYhmqWYH235nfY5vzbG5RJ3dPv2uRNztC5jaLjUs/ZoOcw3
Tg+z3R6nj14Uh153t65JyZ0U4WOgs41bWppSD3cpjkiGjOXS5sIKdk/LtTMo6sdCs99J9lwQ/cc6
O/sOzNqq0Q+dSm6MiRRGYDu3Hr8hFbmQcQuQ42l6qi1560TiPRlnQc2u5DUp9CXNMjxkhvUS4x0z
SkQMHNfWtux0UGWje6HH3j1tGbTozOIx6uN0NeRg/031UI71iRXuRVAnkA3SlIKR8HXstfvSxJ0f
jretdLbC0Z47Lf5G4JYpCyb6ui4Dl0Qf/nGjqT5dFEPRgUGnF/6KP9PlgHhQ1aS9rU987xtlLGUL
3bwt3aJhV04PCAEpxCauqIG7m2PXXtV58WrmDpvQZlpDUn+zuoHPl07uI1sqhfu2uNT7lIq7+UnW
ZubT27PTU+fYOdO+cNrvvWaBxQrNe5tLcRAhrVNUfa2LAXGBeIvPlY6qJG2KfS0EIDxR/swFOXmM
W35JM0PeyubYXlmZcds65UaWGaTVjBp2pFkkZMiSJ6MrHsfmJa0OJs/cS8amqFj4JmGArZraB1Kv
U0h/cy0PKlkazNxm3IHIgFbRIeV1lR4T1g55/WvlJ7uSVuJIr1qOplDF06ZlQz4/9F8zoU0FEtNa
oBLrLlcmExZe38cIHRxjQ3cnpD1DqrDg91qMm8vc6bF4dnO5QzdmJNWpGAT8mB5xy7qbDLYoZnbz
pejtGFgij1sa8pGmR8NZhVy0UQ8pXowyP/DkeOeVTMAF2Y4xnL+TGF+Bv/Z8Gvq2glm6SzKG6pEA
Wk4LmU+oGSesexoti41/BMDTe4qYzEPPVnhLkHva9oAMs6pxtqfM8lgGtuUyv81M+ch9rOaY+60w
D04pN4HEcu747eo7BMRTEzOncWeQ3B1qE2dBoIb3xrEei8J8zoQLhYX7Rrz04VV0UC5Jm0c7ZEHP
oByuCRSchuXCki9XlyRM0bfnHf+tQQIbXlPV2qwIuPAYFWAtM/mcuAmVsftYVhHqrvVeN4BFReae
He5OTleIlVWFlCMz9uNnZlkilP4uxvjW4+7FH49LWEwhZJu4DwhKA0+I2a7twaOeDKuzs5z1XPFm
Sk4qv2h5mCYePZfBoAmNQ7NMCtQU30IXYGzWjxhTLiDIXIJxB226TBkp9QYr1dP1YkYZYqcLH8bK
9HmjGFC0pUuxkFW8bRFSISiIU77MM6h9095gxJkD9aZN2WXI6KMtM5A+Tt/oE4rvJlA863ogPdUg
CGYTWWQ3qL4NuEUJ8bA9ZGh5iDxK7sryWzRz/wT+nCEY1nstNx7gXGdrVfLXSF1FP00ifE95vDaG
g5vhglBOR38gp0PZEi4e2PhkKZ81ci8DA58ItPpYC31iTkLj2VgOtv1GtY18NbKmda/+lR2+JISl
9ffvJ6KXIi3+PA8tX/NzHtJ/sfFIe4vL0ZPWYtj8OQ9hiWPFARSFcBS6A3uOHysQ7xfJcILJlxCu
jj2NzcR/ZQfSucLxMLECRrH/mfUNjeNP8xDuSOq5HNyioAAk38RvrW9tPcR5asTjuWxBV5ceuCBV
37cGD3pskHyb9bxgB6inZ6PNsrumU3w6hd7tO2ixa51wQ8CMA6LEMk+ma4lNm2bjenLjD3N22Cfj
NL0Iq/5ddkN5X0zLNFGl47WEP77OstxdS2qJYEL0V7XoqIrPpd9HYXHOAs6oYYArpePh3nV0QWwC
Xrh+o+sP2cymOyVdQvrDBLQFFnry7oOqq7ejFRu+Q6ronEZjtuZj/6rxyOzlkvqajeihokz3KjSm
fEs3Y7cG1IB5hl/BOdI9tSVaIgnBsjsNBkakNqPFdiiREGCgIALmM/jzwMWaBhjEAngPVjq77Kpp
l0jtZWDypIahW1NFRbojLI+iszaJG4iNEfTHpNYu+sJjVNCvCiAtLLuLdkUzcsb8Fr7avUVUFlNL
QaokIFFa2zlL2zAguB9Ed60FV9lMNcweue6unSDYJ3Nf7TUn+4A2lXJoOUenZnhrMZusJG1d21az
g22ouL/m9gyGgsyJdMq7QlMnK53ePdpdiVeX/CTmdzU111oDXCTxiJvV7RJqHryTOZMkmdV8sgv+
pG1JNGUarpPMfDfM+mkekm+aKpkHw/BILObMJgcCWrl4D5ZuALohDzZMVoqZRnrMAnnGTMOeLbPA
vDuXxZh5ZMpNDIh6+FIG8w3Xh4u4IoGpkbgEz8D8xOcDu5pXJd7ZpB/CfEf2s6eDS+xq44bBhabw
T+GZqgM/tfEsha79oVEsH3UeviVt2sJJoyKbKetK9Omxj+FFuDbalkEfDTl7Fs0gsYBqIXMEi+Ax
oXx4iwTSLGJIbdvg7r0aLxJKScW0jjEG8YQRl/AQeopYhBXCevySF7FFm5BdgkWAGRYpRvBJNdFm
0kWk6SPrMC6yTbkIOPki5Sg0HX0Rd6jfxo+yCD6GwpuwSEAmWtCELTBaxKHEtu9r1CJjkY1c9CMX
HYkmi5RaTBrhskVkclGbQOojYbTI/yQh23W5iFIjy7F+kalUa1+SNCsphkDCEmhZddohaqFusaWi
Cq2gxZYd2jo1nxtdnbUhoJMHZcwiMNl+iWVUbu+aRT/Dw+p7CGohwppXlDzqPCZl6Y5Ls8Qrt/wj
SKHykGhAZNJI18/hUJq+6rTwlsVhQPiKlgAo0Ke+whoRS2djTJziad7zOYcFRzfPeDPpuHSmqkyO
1TR7qHmG2ouqJcQDNHY3BUr6QquaQ1nlF0EoKAgIOvPYOMF8rGJd21lFJTZFVd44GvVCczIdNRE8
Y4ozr42Ysk7efslBi3Btsoo7agw0wRiojROXLxUNBp9NnvlUzHXWjRvHHzNFJQZASrOtV/+en1/n
55KA+Pvz85qG1Lfmzyfo8lU/T1BEBNp+4FB83f9/5xzXf7GAZbjsDbixIhX8PEGpCbL4R1gT4VtY
+heu8scJir4AmZG1P2XS3hdJ4x9UBQHm+OMJCnUDUiXfBVYBD2TG709QKwzynPIE/WyDgkn28PUM
NupVchWrdG3NzQ2lwk8KCI1RtemOd+CTFtFqmC22a7RIubyAI0b0ui2pFivqG4eSVGmJi04RGs3G
g8mrc+72dqy9FEHApYlbQHDWYxlcIe/i2rO5f7s6IbOkATHgTPN39uVkAxfPEF0qL66FR8UztZbH
uH2ZC440Fp2+affXbFrNDRXaEf9cXMw9SBrM+FcWQTAG4fQx17qJ3h/xEZXN5zAb3z2NbG3RJSFu
4/Eu80auAKP1MkzaUz1bzmqcKzQFx6MhRJ5yZ5ouNCu5dZY5dMzBQo6KCxXbI/5D82mrzuJ/2Hyr
e92nGMEAFBXBN1SW4WdhXZEwNL+J5Jm9a9g4MCWBfeLn5ZIL91y5be1zBZmstZ3QGwEywkSHLDHs
k9A2W/mmR7QwbqIRAGiY9yFEnzzZw4Bbark1zHLWWG6EgpvMALckEumsZF+cQGjo8Wg5uHqgpA3t
DSgKnR8srW/6wowhqIHZZi7nV7U4xZsaP21Y0e2X5QC0ssp5Luba4GoO0NGqLeptC46qdrmijpK2
eyWVTfp8mG44fSz8urHw46Ffh4VTHCXRzhX30+hK2SL2B9k1x5CShN1YB2zLqQ9s/Mpg96uFptrp
SfdpyMLbVRjT11Wigr3uaO99y5/PoHtmAwcKLFvFaRdBMNlbwvmQWkEdfDUMG3gLbPWldUgF3jpm
lvTaMzFO6E1Og6PGVl7SZr+zUpOyib6xd15YfWSjLncQx6jWq7X0mgRAcOQ3x/VLDfmbV3B2G1Mk
9kpAoW4EkKXcwJps6m1S+7qLGTKrtfy9nMDkF9SKrhob6ZZa4fpicIvhIhi6eidD6C7l0jRVAovb
8McjOdHYnzC3LFqKQipPLHO3wPfoOZ4z+CayZA9BEe27yBB/WF0hlmf4J9Ek8Lpi5t2wbNBJBqjc
8eMcuBvPXHCsEd33w5zk7SakDUVsRtMbUcDRnz9TKHZ7T9eNm4KFic/03FwQsRCwMriR12K8TzWd
oUOk9io3ZQLapXqcNBmsxcxETK95gYWBQui+edGC6iktctYLnhw2YcZKv8+geMYCZ547xY+M2ddx
1USvnIEuG5cghFrgAUYryfbO3Q1mbw/vcRqtqRarDrJzPsK0f+2E2g6BF65HqX0Ocbtw3qIXU4uP
IGGeRwdvHEgqZ51m9fISkVf8Kg5dIj8LnlOtWxw+mXcvPPu60sNjSSPfKq+LEzDrb4Yjn/pUG329
HrG81d7Bq+t9MTd3zSwfqtBRG9FyTWDqhjU7RSvcDNPONNDb4pxlgUeHxxA0OC/C20AA+nMDZt4O
h92FLeY35CsG/JzppmB0dNXZM4crbTQrf2Kry5PCmEYuh5VAlNJDA87jPfYQ1ZykjfeB2RO5tzqT
SLW0jg7M/5XlFHTF2tm7bGzeWaLLCTNX18Wg3SEFLlSwJDoG8BoQYwLotdPg8S2xMZk0un1YzjiE
c4bgJiNKikAGw6JbHp5ZYBokYR3v29IONzGlvztSCNFtGtSl7xkwL3jDdLsmdlgo2qPclZZOgX3M
4hMCZMobxp12Iwb7jSKIAgsgszZyjsG81fZnMwUzTun5ANzijNh1kZnxJejzbGMOwtiZA6w3U5Rq
m1CatmW0FbtUcQuyQMDuDWe0/RgFMQrTmeR9ZOwMc+RVH/PdhhlPrTFgxMAXHeAdTVMwrbylRIVC
POT8pHbd23sc0AGtjbqz02IEzDhjKVwFbbDOM9xBvKa6f0edX92Gi7/g70edu7f8/47FW0UnzF/M
O3zpb+YdqZMdd3Ak/mdy+bkxYJlAISEAdthhpOl+Z1Sk+BD4qomH0bC/sGE/5h0oqh75jK//M8aU
f2aa+MpL/jdEi2mCFAFZathkFmsIbvS/H3eoW8novZvq86T1DitPA2onAkTuxfjBwvwcWc4V8nF4
cux6h0hh31TIjas5ELemsm6TuvsoREnuZAyB//QXoatve9biCaRorQcXkuuXXq77s8FCrLdGXBfm
pUix+5pddgJRvlWBS+hC2xaTduPE4YM75U/22K49VX14HLc1V7d0yg8JwMpQ05bPvnmwvfARws1a
s8QNrbGnDkgVFKDTiBKxks54Cdxrt1izKaZ9sLFTa/xEm7Qe3mXUXine7m1tvppBuuvb9pgrB0ek
vOit6qTC8CQLDo2ZXElYnjqwDGYBrGs0nlyLBwzIjpwmwg/FOdbjE21Wm77D5dDMfij6Fxk112HY
XQXDtGY9sLOgXYAZOtUGLyn52cBNAg0+4HTuOlzR3ht5CsCt1lMc9wetYV9iN+ABZ57f2M/KeeWU
9d3UEGNQY3QObBdhCX5V7DzYTbafp+Y289r33BhPmpefQlVd9k62pzXumNXTvqswFQblpxuX4EJh
GSl5MAPr1g1dnCs0sbVuzus4Ha6SDgiMPlUXlUrezMK6laWzDiOF16tzz53WXgZG5s9Bf6jp5mpc
7TaW40EX6tFagNTS3Dh5pK9IBrFo5bwIlajWblZdRV5K8eNQgaGaOuXjnH5zKYfdldW481j2cEUr
nwyDAz8bxvfcdmSANyEQ1aaZ5MDatvHqeB9DxT60BWa3szXPkKdjoDjmjnIbHG76wF9/BHhDdJ8c
BuFMzStvk6Itjzn1eOuGYBKxPN28Au/R+/1EFisdMU3IHBIO3WLxraEbu8RgxwHUaB/nOFawxtIZ
F+nzOjeoMtZz9llxSXyh9QThCXew9njMbXBJ011kTZWPzj2ulAkAdO6IzwFiZWoMmgfu7XC1HSbv
ODVuIm8iFh1/DjarFakZ95qhvhWe6WNJOs+GvbXq5ASrnMQNQ6SVqg/sf1ecAU/awNdd1V1Lo+eE
Vb4qsSyYTsDuorgxCviuxEx8fLAtqBNwTTgnQCCV1nsAi24lSOmsyqbq/MaSJ4ZheDxj/F1q7Px6
i900kdXKTwzvIyjlaz4ZD7btfPD9M80VooExbqa+WZL04ygqfTYumJkTZJsecbFMa6hU0bkPsyNu
vkdrnD47Vxxj6R2hkEJY1eBGBeFjNEOOydLqNKmh2mY9c6fRac5VkSp4ESFFJ5gzN0bYU7JqkUoZ
9PyZFmp+y1VGDnYRw8Zh4RYF+TZOxoPS0l0sYIOR2+AqhH0T5ss5Eu47B+H7aJFCr8eMz63r7E0S
k3xlise1Jk1Sge8qOWgr09ipwnhuoTMtTaAIjHh3iaesOid6ngI8TlKzvkWqynyHe5js2neNyEhj
ONN6VAI4onoyKeZeT6yCZqPDfwofyOw0YwncdKu5Lu/DATVOxJRWgc8jL6TUs8mYzlJEuXy+zC2G
b4QROfCIRgkRm4LHsh48Iiim+ZkJDEK9ChYzVM3tEqLtkFUHQFwO31t/xMRxHjMmrGnuGNTMwxAS
Fm37x1yIYzt4rGE0SRMowt6qo746CcUde6ELOw/v9ckFnBqT0aUPc+VZg+k7o3bJuk1f5VPyUIcW
E0lWuj5xaWizIYmLLbG8IFxrhVqSpK0g5NmHB6tlpEl7QlDC03ZwA7lv5bCq8yajs7wjRZFMN2VG
eMvVx/QmKvpo/e/a5de1C6uQv59FbqP+AwbU94+/mET4wh+TiG79YhGG50wV1tfg8FO6gPTu4M9k
uyL518Ek/rl4MWluZttieg5JBnQFmxnlxyBionew30VwgH1n4vv8J1aOr6ar3w4irklmA5AA7k3w
AdhLfz+IhEYOaKkzwaAXVVW6lxpJRNbgbE6aTPgQrZKz7AwzgW6nsE9Ei1Sug9R2ERmppvC4t527
otJ4MkbtYNu5edVx6fUHo8kv8Cxld/gFhnM3WuUl/IPiWxu0w9HIhuTO0of6wmL5m6/b0f1QRoQx
30I+0OOallaXTudXTBdYzLQe1a8eWLHLlONC542c5vZ7z+j0qZnRfGs0ToRgQCsGDw8xZuExK5VO
5Y9GbGBDiElNh25ynWWdujfYe9x2pZaGdyK2k6DZpa5ezQd89Ky4a6q2qYjXXc4o/oUdOS8caPgy
Cb1x2SmmNybL/qZmPkIRoHEE6yMajTjRPxpvMjuq4geNV+dihkxcl7y5U9XEIE3Yx3ZPrxRsZPNg
9Vm7mdmI+e6M6Y5GS68tK1/PbaJ1fS3ti7406zcVRw7LEAxm+AFEw9Wo6nn9TVFumju2uvFhgjoo
/WK2bmedWN3e6G0sdm78rY1TrqIOp+yVDf/04FVe1N/OMZb8CU2E8FXIB3O4yiRTnrb7943w6xsB
Ze/v3wh3b98oHyY/9Rdy5tIp9uOVAJ0YecXjBoJq8+uD/5vLiefg/PrxT/iq/8qZtE+xM1weU14B
aJY/3wneL4Ilre5SOLQgPv7ZO4HKiD8uY13Wwct3x/UERfWPHVJm3Oe4C8bhPKYexyoO7y1As3hT
xotjd2xxsiYNWwPb6l+GOLsoGy7sjvBcPAgRwfEpaHyVezrl7c4G2QWzzIRI6YhIuxDt/GYrYz5x
oH8MTtXQKE2TQMkkwtntXCFcUIremxXLhL46we3axEwwLU0wg2DqjJhtstY4WrX+mYzT48Ds41rJ
uWIWcnVjLyNsXzJmcxUtA1Oc6tBIlyEK93GzDiTOKJSej9i1HgZHe0167WNYRjBX0X4wDph98yL7
XmVMXInQTi3PP7sbhrghIQjVS+d9SXTjlWDUS5drT7+Mf91UPIbLPMhc6BTwiN2vUXEZGoN61wVX
QXSgCfu2ahzop+pjXnCu+TVXvwEQQ3LKsTLNY/yUVTTKMJmGuX3fL6OqiD+nYHGsMsN6FMaDAGa/
1jPfFhoqyrSMvF0aptuxpS6jkmx+aibjDHI6WU+GZTI88dpMQ9C8yyg9F9a8zpbxulGUbbC0aXyL
2TsJcQRnmrmj5Se+BaJr8O7EcR1PWJf0iBC3XVAcXi8jPQtG0r0w7I7kyG6LZoRQt1wBUCcPWL4i
vzaZSawutvedklPymAeaG1wZzZw9UVWgyVVKLTa/vn5ejybL9n6M2KPa3mcD1G8M+3PY1oTmvxwW
7ZfboqaF9ztNAK4G85/wT2TpamuDTD27AgGKXRoXmkWOLhdhOlskapJSj3UbjQyg8jVZZGx7EbSH
RdrWSkRuA7Vb5sPBzOgarlUHDxCZsUYZ1zqWQ50YzM0IL2AH2iC4zaysWrkN0KgGdb1aZHYTvX2E
K33PJ4CknuUW1GcgywMfaDbeItUznr43i3jvJkaPYT38KHV2mbM1CVC0OnfHRfUX3AVAj+gYadpu
Xy/mAAOm7V3lVCkF8G5+nywmAkTIkLs8BgD8BW3r4CLrODyCyN6PDja0TmksDSEQc3OYYK5KtdZA
fqyzhNp2O4JY2zo6ca1IgaqYxNuoynUVDo/cakpydGJasdGL/cCS7ORHSzvATBlek3gYyOdXyo+8
Nt9RIZJ8S0y72afdgLRQecdkCMd9TyxsU7dc3/2aXNfKsWHZDKauLkPIhVdeP50aTios4GDJyCfw
ZGY9RgPhjX5r5M2V5s0QDHSoG4k9zpt/z6Ov88j6n8aauwho6lR0fx5Ql6/7zWkEVErXOTx+nCs/
TyMT37BkcY2xhSGUc+XHaWQZhJJwzmB7QcWSzD8/TyNUQ8K3CwrKsnB5LqrhP5AGOcT+eBpZiCzA
/AXTrsO3wpH4W3ONrjoKaWqnuB5r4W7zHqqEhRSxmoFNhC43vX7irc3jKs78EOJCpBkoEAdcLBBy
+BYRZdpXFKaOq8Y0KxpeHWtvj11zGhJVfsexk+3chbcRpi4xyECf8NNKDXp8pmvjdVNn7ZnWM+sF
B0y71RXH5ZrlMfDdXOWnhGs7ch7ckzHF7qLrAI2CcNjNnpM9gBaxX9Lere8Gw+6u2iZ02aflBS+S
jn413ebUMDsBnN5sjI/C7tJnW6T5PrBZSOWlat56pgfa6j2iHbUcdm7MyNyFfXmD5L7BdNBugygo
/X7QLd6aGtTOb+CpQ+tCh3Qyjdu2SLqdPred9mEFMg5ppU47APmqyeuzG5ZcCgN9DO/CWGrEgjoy
/3Nrzu5wgqIC2YXKJSyLaDKD59Je1peD5tswT6MLR8vBw0cdDhjo41XGllwSDVbjizOk5tukuXaB
/8TJt0Ho2McJL+xdOxTzm2nbKKo5fE9UKnblUYAUpso+eOeTFK1FPs9vqgnnD8DJz4BMtnkQHbXF
nZvpeKEGuy73WjkEOpXyHZahycMirLfTZVKMLEhamYyrMSu0lMtKEG2brDWxU/ZExsqkerLcKD2k
Un8wkyrclxrtO6EY+pXNughFtHHuvLDMDq1Gfq0UlXMaJdCizAAsQkGRDbWmEdkHTFr5rrk0qJtp
667KMTszWGt+3fZsDDStGTdDWtELCP6dLaBWEFsqVY6C6y1H5Oy8BoQx/FlCYxhVEl+6MZyXRqvi
F52+rDVukemySeiCmbtRu+DDy2bD5R4VB7V6hvk3POQLLqQrxuhOg2V7HS6gETwVburnsJuaVdMA
ie656rSbZrQbP2BvC7uDRR93BONDOj37R/PojoN5A5MapK4oHP2jXOAsVcRGTtJrsGKL8Z8G1H9j
Hwts4H/dDfL/86OP4K+uBr95GevOL8LTeeP+SkNYYps/XsasC7BbLNRNG5PEVw70x9XAxB4JqAH4
ASaPr4LQn1cD4xesGyYVKRgkKYimM+6fvIzNP14N2BeYkByIgeIM0VEwf/8yBiESNiHc8ysYq8iW
NuWXQbvuHDuBAZINJZnMfnbR/Ok2MGDi59N81xFZCPBQX5o0tb0lYb42W9xdonqN3VTXrwkqglqI
e2JUq6bP5Tkr2vkYmF0aHap2Mu5RbDT7oDeCBaKUWnvOlKmOyeSIdmNQLarfRS7Zsos5mNPmG9tl
Z7iqzbK22XshNTh5+kHCCsdFzvuK0DTJj51YbsLy61LcVlN7sFIDHto840DeKDF1JBFdFr1uFYoL
o5Pqoq6qmE4qKlM2IS+FdV3V7aYTU3QBjMm6VGouOwxYSr51DaVcXIUUjm4EqHmd5GF3HRr2G9jU
Vyjm32KHFJ9ryWxdOvZH2WYfjiyw+/VZZX2n4INGBZjtVTAc8lnY2zbROgqPA2fVG4IL1pB0OliD
Ad2ZUMmTrjFOyWRQ38bI6feNmRuHEKbipZYYBGL0mmRH1Y0sOMpqBx6jWNeMa0BvMG3aHgrAWFOC
IQnY8Mctfaf11s3QKN9rswuvk5SIq9q9mmx7PiQWt7PIwM1oyXAHBQoOUgDBCOdovC6ajvMkT/zS
k2hIoQa2b96nOrle9hg7ds9UMzRZQnSgRhy2xmcrtBQL97lfuY69K3R8mx1kpBam0SkxUaNEyLgs
U3v0azhZJPNK4wyVIvl/9s5juW4ty7a/8qL6yIA3Ea9eA+Z4QyuS6iAoSoT3Hl//BqgrJUXpklWR
1ahGtjJ1JRLnwGysvdacc1wLg6Zc5bqef4tFtd5lVZTfxb2KXSCqvubE0e3/XUF+72hQbr2/atnf
lsbc7zWkwk/+rCFF1iadlYZYmKWXSTX4Y9mi2aFTCLI4/VybfixboJhMDGTiTwnZz1VL/weMJt5W
7KIJcflvrlqKwSD412hSKlUWVVZVvGqI1pa/fxVN2nTcvARCCGShZbGTYoqKfHY1qU5q+oKWSYxp
IzTAZrA6XtLHsMAfAqIZ0A8PE2ga7M4QkIHVlAu2hqFzYcsLyqaqzMGNoNvQ/fxUQLuhZDhO9PcY
fJgHFp/aUyHj+KXCqK5eZxLInKBNr2hLVrAFlCcdqg4R0Y3jK+KlJVJRDSa4hTqu78TReB5VfVzF
Q3mdyfGtIS3mlgQnRyfg98ys6l7tys6NpNLNEmh3BMGBGymEVV4lHaLdej0klEHwHADJdNkupK6D
tusXdESI8xNcf1Q/l2kvTJfx0Jv9Kh2lIQNpsdBeoT+LJYZ0CSysBeSyWECxpUSiRL/AY2U2wMTq
K16/gGWThTC7oGatHKjkAp/txPhrC40WAZNFnh9VhNKe0v5WbgoDdxDBY4iymA9DtDUWtK0E4zZe
YLejBeUAZALjQ+I3db9pdpWYf4HWFJMXloaF6OHyoqmjZ6p8WSWEeOYoOtxhSm7EEOu5wcSvGRNx
afjc56RJImAqzuU8Fgf6R5MjGJaXG6xJQbnN0+LUSM06Ax6UWsZu1Px7mvUM5BNl2hZ6vOpyVdxK
+IrI1WpI4mxHEjV1MvnFlBYqn+fODNpo12OE8yD1DRSlvrDAorIzmck32OxICSgNkL0wStQXWkm7
gEsALIOTqF94JiQJHmd5uhQbcr5EvUH7t9jX6lK8DnAekm5GDGutnCtIKQIsF5pIl1psbIGFrZO+
24QLWqWHsdKa2Xm0IIqN8kT3ijlmxpWnbx7GqPvVLL7TwLUYRbgeaI4A18QLCNBlBOyCKP9QA3qp
Ab6Q5bWRFgIMLeTS0YkRsWfwMGM/wImRIMaMVKf6wpDhkjPa6uJvpO3Zfc1nE6ZA8wg/1DY6EBry
gNYKUBq5RrC3UGraLj3i9bnKFn7NtJBsFEG9jrrhSy40Xtbc1J0kObi4LwMQOCWyoLycd7UufRKt
eCDQFFwX0BwYlUjDkFiyAf6cLVwdwUB9tJB2FIJVyQMmEWeh8CCzf7R8qfDEjKGBPpMNwT4JG5hM
O6RoBLcA6COb2helFAGWLaifIDyzm7qr6uEQatKntIIJJMrTqlooQRFAIB9sUJzlJ3Zfph1aAIUW
shDJLQcrIPmCaKZ9mvLPgBCRu9rS+8+2Jniivs33/MsZiIhC4b0wjJIXnBEJcBP2xwVyFIoL8Aiq
6UO8ZHpqMY7VBYokNBuITw8NsKTB6j1Si9axYn5ugSllHTTVgv6QInVOC26pDsr7aeEvyUsTc1D1
gyl3V6ZUpa4EzYPkGuU+At80NDW5k/CcClO9VAA8Ea11KS/Ep2nuj1pPjuEIDMrPEa1ZbLpCMFGR
mdzFcnLAlnBr5ATJpLF41QKWkktifVFeJWJ3l2Tqdb0QqLKyf1IzHjWxPoKTpZ0MqyqYmCPF4KtS
GdUDOCtukl2x8K1CQFeNT0ISgZLcVf19Jlcu4/R01QPHYg+6FyxpL6DksqtB2KpgtERwWm1dbTPw
WgNzZjIpD6PVrtt0vmz7pLUXKYQCmGssuWVNWnhZk976oLuSAdpApW1bkF6NWu7QjW4lJfzUg/zS
zOaGiV6KVNBf9RrMj978kojlVlpoYTNpgr5cHwCB7zDD8IRJwzEskn0EaGwEOIZnGZot8x4J3bwT
AyVT+2iVAymDlLePDPP537XJ99qEiej7tcmqfsyfoubpT+UJP/yzPJHJySG6HvyGQTzwkk33szxR
/kFeHa90nWkrUvd/trgUA/8YCjEmaz9/6scQlsmtpbyouKh19MVq/9/YVb3dUzHKYTcFc3JpsxFL
xgd/XZ1oqSiasV/P57m9q0zfXrq6r04Md/4UFPk7mBO8cyq/A/YeqfEELL8MfF7VPzRk9XIsFenc
jAJm15WWRiiGv/b95v3j/PpNzN+Ow8b29TdBlFVib9FQ8ZPtItWHwfj6/gEIJ3pdyf1+hDeVXIAK
W+5Cvok8Gghobg1EuHSULYExde9hb3Ca/qHEWBddtLC6pehbHAI1upCLyzYnIY+kk2qvawHRadjY
1csuvh6IKB1xqL3/SZed+qua8/dPyo31+lwokeDjcl7OheL5SzZOedchvSgk9Tyg3/H9hHQEekP4
HPi/pv6XKuNvmSrLPPC3D0BIg6YzIyeaX36jMcxJiW170ZjO7IYiXIZWnR4SYhrR6pZqhXuJlELQ
gSYM8hEBVjdcSZh4UROT0duLwuzU5P3YcskIfNUG4m5gOlGv0+xezpTd4ItMAGUhlm5HJYvXSmLF
Jrrs1s7j2Kv1eltSh8l9taI1R3EyrcP53OuRlwU4oNELAJ1e10C2M/kCdhA09vuG5IKguSHI76i0
KXhk3e0hmRDKvKVnSHAQ0tu4dBPtBo1XRSgBZSyj9WiSnE7qDoaYeUNJ7uh9EzNcE0hkGvK91KqX
cXyMx2zdAy65zQhiLpVZ8QrrplV1V8XpHC/iXS0KVJAzlemKJtriIkkfWoEw2WwmnV7zGzcJ1MP7
t8jix3l1hWjZ/PrgL03517fIEFlN3I7NfBbXysbfzof2TlmTen9ubOnQbugxeDCunWmlODv2uKvC
HR+ELSLKtbhGH7qKv/uP//6W+eXz/H7LvhGDqCmaw2y5ZYtkW1BXDy5OQNKpxA+Woz/dma+XozcL
nhllcxpSXJ3hC6Q349cqcJBvYFfRfef9Uyz9eoq/f6XXDwEb09en2OJ61IoFUyFkc3cBpbHDTU5V
1Hg0c4IzEo73D/inFVCiQ7bgcSwadW8uaYbVyDBSRT4PxP/l85deuHj/AH9aAF8f4M25Ywtj5H0g
y+emdzsa6YPgsNv54Ft8dJA3q6w1Wvo8sXM/W/1+rnatfiPrn9//Hsvn/Kfw6K8L8+pEvVkeJ97V
dZ1p8lnm2R5T7EP6lRWfFjHny4H+p/vNx+ipLpriuf2/y29+KsqpRhnZ/r9f/9h8/3PwrXAf28df
/uC9xOZedt/q6epbQyb+j4pg+Zf/1b/8K3z3Ziq//ed/PH7Nopz2QVtHT638ewNGfb91Ez427eOf
f+pnXQQdhkYLST5M8ixjyQ98VRfhjzcslCaiSpeG6/NX20aV/oHYREODRtqfaOIYfD36Y7PEQJ1A
37/Ubj/OwsX3i88J/NvlSPt9gVRx9QMcovtHjxen/q9Pr7wcvEyrlMhdgxAUFXWopA6f6JgQP1oJ
5zIUa7uZo2OSyph/JzIvJ1wpJloolMnmt6KLjqRa3KgJfQlC0kwXW0xpN0CW0f5uzLRb6a3vYZDZ
DAP/SxQuD1TmKor00Ggt7rUBMs0YMkKpHkMjPk5t980AdTEgvG4FgrgmqTxWo/rEmHQdTGRbKE1B
IEqUdZu4rDcEs++bGOQ3CuMZTCQDeQLHtB6iYnFrDP1pkMMODrIa8X6UH1NqM1kU71G0ayvD9zun
RImyrolBcxgNIF3Rmx0q/X5l+iVZXsLGUmIvCeNr8glLxBTK4PUYfnO6NnZjlqtBX8LQ+HB7ggtk
ZzaH2RVyxqMCySGWkn7FBFeuJ5mFJCLVnH6Mf1OnxXNadqMr5oOAjDQ+Jiq0zYg+Lx6yMnVIYOJ1
PBYTKhfTQ+23C7U2d4MhvW21WqAZm7twCy9DMkXt3LR2Uo9/wNDao5XLN1XYrQluuYzGSPC6mZbX
lA3oVk3saLhmwHJdjiGJd6ppPcSxdDU1hNBXfmGgc1EycOHKzZxFDwls2CGlW8WWlF1/BGaZDXdc
ic8kFuob4t7YlEbd5OF5DMh4Uy67NrwLYz5/QOwrVopidnR4jZ1eMBrMFZX2A66KGCdzk+LfJh43
aiJkjpLuADW1I5EqafKt3C7y8B610BWG8NEpTIaoMyEKJBqQ5J+TxtdO5CwOmIEwgLeWK2WJus6K
7lwU5p0m+Vz3hsRYaaxsMSsfpC46tHF0qCMYnEIgmY4Gw4EMIXxuVgN1HVUOIW5tufaV4sRkAZ6t
ZmxTYgYol6KTGBcPVVxFqypdAvei2h0Jo9EHPuiwBMdLKTwOSbyQ5cYptWEZCDDMCLptk5e3ndCv
iyZn+1qs6DUSb5dFqKSa3iLrZIABnIYEpoj9/RLz3/SYS+JxPUTlhPsPRlGuF2dx4ltNxkVRDa2T
WP21maSrFo7xfGr7oy9Eq0m0tsGYnyUtv5B7f5NqgDo7Hc/FRK9qgeh2kPi6Ipxdea6JrwI8yQ0a
+UAV8PdWZD4XOb80z7TSQT2XEQoA3SgT++cwGRN3zBTDI6eaRzVpvoyIqofCxHsxdtuCkarjd5a1
Rlq5DSW4ozM9mJrtuULYP/STtSCMgaeN8H5wXQ4rSzCVVU3DMxhDIj8ZzqKXV792WgtPIky+Fkp/
X83dE71UCCsNbYtAGS6mLi4dhhyo0Vu99ViOesXRuhwcKdPyds/aszh6SzwnY4VBIc/arZYD/10p
HSOgW2KQFz4KojZ4vBNooKHKsdgZYz2jJCKc2zNzQUXg1TOc2+BUQhFaK4iiTnSNpu7aEjOpvR6s
WlD23dgV+4HYi/AeM7Hcn5O23BQLR6aMYbcVKmyZaKHMVBgICXy4ahb+TJuMOxUqxKoWahwigr7X
jJFuMVl02A31J+I8GjtpdToosXqfCJiTwyXxQWKavVMWBk6SE0XAPxeJGC8+l776SMtWdluTclyZ
q2eMGr2j0MDFhzjItriwduoWgdIEfmcqG3eMrHiVAOZR8/pS8Lt9Zhaf+2ig/aU4w7jAdV6YPqWW
Oo0y7sKJWTpJXJZRPkYghMEtEHAk4y9UaALYbTtci3J88oEHCfH0kIby8yxBFWoC7TnpM2T6kSvM
O3lBD6lajbe1vkrwV9si6YfjCN95n4bGUUxSlNDwiwY4RiHNJBJqQRtVtHvI585OurFEpGlW4ImQ
kGTemO4Ac8WNxu44i9Pe0saFMhOXGyMH09oUYrtWFrxSia7PWIBLc40xK/eFmzZxZy24kxc0k6nG
cBaEhOzWxBo4OEqXJWuKLBFMJigzXQWXFUBekE/ZWA4esrwD0TPgoExcJoFknKMhP3apga6RpG0r
Z8+fNZugax91a5g8DMXX08KZmhfilL+wp+g33vod5uhuyO9I7dnFQsJnBFjVLeQqnjqVewChFsNo
wakBXMETu2WBXoklm8ssbG05UDYKSKyqpykbwcgiH3tbDcpFjzfI0oovES860lrFkyq2e6J+fIc8
OB+Tm1ST+1lvA6HnlbBwuRjkxHYIqsvSJtPug9yJTblaN1o0OJHanBMAX1Qiq1xuP/UZdhgkHahV
YYFNnTp6ycIHQzdbMRsFcYx5GD7YwhHTk34NmFlaAzwxt8hdLIeZ9lksF/IOILIuJxu90q0dGWm3
KX1ubyp4CS70MiGag7UwSBCkLd1BUYFpiicNAYqMmJNscaFhiN3mYradZXyvPUoh8twWYpqB6luN
LsIu/iSIRbDCGkeeVeSzwIHimDOZR0IzL2Rms5ig8K3o4NnYi98BXkVzaDzN4NtGXVyhy7gvEshu
Qam7rRJt/ay8Fwtzo6gIjWDBKbHgKAscTkzDvQwtLmAK3hmIPhLG6l10ifYE10srXucLaC4XNIxi
dfh96/U/XXevvxUnNNPNr3X2/+qymz3mu13J9vH/2I/1l8f6T9U3P/yj+pYsZOCEZytLyMYS0v2q
+haxhsgi/GNGluqLuu7H0FT7xyLVswxUdy9VNnuzH11JrCGYOTD0LxlRqOXUf6krSbQHeaGYAHil
0B3l073eOSuhJAztlKmnEFRjcxrHh1en5a9q/3VPkkTSX7aAtD8IEEFNoinsPyxNM97szTu/UWHL
j92pmzUPK+IzfalT6sdXWt0+t7XkMgYFQa+iaZaEfEsyzqauYoJuAULrgl6si0FZ50bN6Fa8iTvW
p6b8KqRSZMvWAcsWuuA2GeyZZ1vqJS2BmtFWyjnIGmayI2GZASeRhClKbALCp7mxB1HbjmHjYxMU
GRtkoQ5BIwJFrEbp10pOffLF4feqpFzQRg2E+zhlt2Al6lMXjtmqlYwAF1pY7SViC1iCzbNRGoKX
mvW9VQeKJ8nEjJaqOlzEIzl9ilygKKwx3E11vu/r6DP+3YOGK8SysukwBCRTsf5sCCua3dqvbnwt
ZZ4WHU1EtWhVclK5iKmT1PGZAfC5JRiDJZ6sQSQublC21wavXoG5hVIhgRaFTV52uxZYEKXJdDkm
5o4ymSpyJlOiJRzIMB59qecdahAOYAnEKUaPbeNndmMQGKGZmzSIzwK5g8x8iUSWH5ok2FmdsQEO
cFBziqta7o+pwuswU5hfQq0DA2QXqvUpjuZ2MyfpRe3TWWrmcN9G4gNezSU5IN6pC3U7ZQ4sz7DU
lJmZoJIDmW3Ye3VmtJ1SzMRarGnEZetrsYrAi+nJ5061cAUAYxADZCk5+yIcirtxrh1L7e/UgrIh
1E6EZD007cz7Qr0KM/q+3SL5VPtjONTbgqCTAOV92DMsy6xhk/YM/uT0GnpvZuOiuUOd/AlV3p3u
d6ui1nfmrDGGrT/raksR1lprQWkeCr48Ix/KSYJjyJb3iPJ2yC13lWQ8lAO90a4K8BNNlBet2ci2
avh2oBufeQqgzMUPge/H9ti08UroOm6b6pmXzsYkPltVys9dLT4IgnjdGBOFFukv/UjylJZ+mRP/
ktDL2Q6n4JDEdbKWgpLAGsG4CXmvYVYNiXVnoypmZDpIENaEkim5ORva0RwBTEWRzpawlBD469ex
pd53ZcPLSUb+kJbL0xNTRUmg4bvSxL05VK4GnsuGsXY1mkLgdFOX7nnHL1nxSuNZadnbxKj63tDo
p6CVdS/SdIiOhEyiDjW/EHXbeyERGQUWVh2MTFb3PkyyScDzzFgwOo11pB+qUqfo4lRQ05cBmNME
U21ahK6K5BdvtEBG3oxlIW/95KpgU4CeqRP31NK2GU4yXf563+JJpcZqtjn2M1tSyOmQ5KrZ0NmI
vSDqDroUML1LyhyJrAZLZ7YID5UlSH1p6RVtVeC9itKzgcktYVTaXM5sZBH/lk/aPH2qfeXRSKoN
6xvCKSlzLEkQXCqqg4+leTE+a3aia8iZ0iK7Rt0rLCn1fnrXJfnV0NcDMAL9rEamzcri1LHqKobU
uUWZ742KDY0s8aGN4TLvwJSVRmmzRu2Civ2TUnlxHzvl3B7I4FmHWngUU/EuwXONnJhGvZ+u8zH5
TAWpEcLRUiT6Oq1wJNC+GhlfUPHSC5gJSkGlNmQ3iZQNq54Rv4Iy36FWp7Y35wRPbFQfZzM5KXK5
SazmUqqQqqRNg8AWqRciEpclbysj0fYChZ5/OvW3ulDeZOzROjajqdvUHWDQgQhA1pxuN4h68TlX
W3QekfAMGAhEUceWj8NhHCh18JRKWuNwS4x+A1OUQg2f+5qlP7zzK44gd+lNDh2JoCPR2nVTTUZL
HOCf0dhtY6gklkWmTVIYN1pV4JVWY3W2M5KA3Un1sYwk1Y3uTzcmUX73s59HZOoBmYEBJ9nGgF4a
NfG6FPt8TXpu4aAJxBHYa919HaXmajQnAJxQ0kLeSmG7UTGi28mAO8rManfKige9R1QyYLw2Jq9r
ls2xsUuq6VbEPdVH+JyKMrztUvnGpKDej9PYs0VF2FL46eSUHeF1pSg+0GBTXGVUq/tOLyW3LIh8
AjCcXBlRRyStr9zLDLmvkaKP0GQFy4nRIXrvv57ftIBVxFe4Tyk1LAPhPzbUX1//pM8xMA3i/NSy
A8GRsdX04XKom9X7h3k70PvrOBjeNBhgPPZvi4DWAK2MOvSUpekRpsctq9KFSfYdyyW+yQmIKruj
TT+Wq9RMNo0cHoBC2qTa7lmpDkxmEF0ml9AirnRS6hTaaR1p2nng0/1D5DzxCKizedLFgHLtZ133
hwLmj2cIC64hqWxTIPn+eoa0rCsi1Ob5Cd6uHUw3i8s0LD6YEb2JWjdVy6IHqwAzI3MEfIPx5jpg
fSinLOn6UxmQdwb2Y6swQrRFv+K90fckWAv9vVCmxWVucQ9a4nYwB0ZsE1ytRVQ2x9kqFMg+Ympq
Xee8lbqiPxE+ijCMjExHgyGxRKidIgH0oI/WZ5B5bvRsYNxGlPMVXrDHpE0hTCGzmfH8+I2ke2Ea
JV7SKk9CLa80BKT0uiodACib06IiSirEBMeriNIm1LfVLH8jdepxNAjN0kjuHY30OM0Guk9jEjai
NMRHEd29PY/485hbRm5oEdQtRcEnv5Oym2rQeH9IwUHLSkAaeolYX6LXWfCKkyBOTbGReKUonzXR
yN1xZqAnKenBFx872ja0y1gXH0yBbo0xSJsJN0dKJ5bsLppspV7biiC67K94ifGYETBM6MkoZJu6
hV2eSeOOGegjlN3waUq1taiTSWCk4VEumEkqTbWCV0tIgDxeZbqe4myUbEmfx31lNB9M6HDR/FI0
f78fFicOt8OSIbP05V+X5b4iFDl/154wOz4qVkPIQtmnJ538Rpv19HPQLO6KJnQkfXTN6CVlPj1y
VkjNQsGzkYPmCJ/MHmb5qBXmPcnVISYJrVp1nahumch0WMroJCIIND2xULMNct/SHaSocs0a4IzK
QiRmRU6KXHUdZNjvpLApeBvQncfEjGKrWunZzLhFf7SW6U4v0bytM/lWh2WtEtYE6kZie0vEZ63R
ca8H/Z60u+3gy191g2FWObAMWOlGz8cbIkcPRl9DjVWudW3iDiH+apKvtb4/JnF4TTP0KjOwn07t
vZkkKsGubNj1qqMWrHqv6fAqmks4GrtiBF4AmMl2exS4J3D5KA+SItxLIci/Ch6lFxqoj2bwq8JY
eJJar0Ux3lp578moFnkbuWpC7IJpDnuDCPlBwmchpYsBs71RhvJkmeO2wSGuDOJThX07N/RFrEjI
S+4mILtgaR2MXF8NheqGRoScDFesbEWXNL2S7WTONBQnT09hgJUUNIUesC/hYewF63Ko2mfYYT49
98WSSyxt2yWODlpPRoAvSfpBb5R1pNBnNKUg89Rgpk1KhZp04UEgET2RhruCqNxAiC4W5m4QFis5
EfYZb/FwCMhoSx/6sgHQTjYnrQpXknhrpv6wanm9wz8r3Y5uqpsmwjoezP0co463IlSyUjA4jcii
O8vSKiY3iFjxC9+UNkHe4vGpDvliAW7bVDin5TKiT42dGgz78kUFu2TdEQVHZpBI3lZJfFnDLiEF
/qpkXtEZ0JmGC13zjARCnnmCMapPq4IUGKO/K0X6ZJl4JCWp9kZfPcThAG8bQum+k3vDacgSdgzS
6ta0wt2SumGDUq5xJ93Y1D1ViFEQIW+Qb9j7tfTBq+2DJ/VluPVKdCOH1kSgXtLBKQwQzR4z5PZj
Ty7hcE7qo8SO5f330TKUfTVRfXlTvFoZlhzP1yuDHGK2oEXenoriGyy7frwCFJkH95iA3z/Qkj7x
25Ggj6gyeinDYBT465GGBp5cLPYjnLwJ2Ws0Nk7kywvdoNiGBaqJZOz3ZRmRjyCJ0pHoAY2mfoG9
Isa8PPB7nUYSnhkuXo65QmtP6T4JUXEuROM6pXxj1+O0jXw9Bs3o5m2wAmfwOY/VOyFMy6ugS3pP
A2CzzrRur8WiTWHhTeAUHEq8dd4qxh3CrutyRvCoaLtOIeRfkXGH0C8urfOQBPua17YhwD+SFzq6
QA6kSZNUusvK2otSfzuUAELS0bRbLXukiUv28hA8VIiT7+TAx3XSKMEHZ/WNcuDl8r0+qcvA/NXt
kuhqDv/EHE/m+Dmcv0zmd6bt305TP/r9b14copBSIwfJBNzsGoKlXSm3H9wW798V+pv7D+lDIiZy
MJ00+QJ/ts1pEsPpe1fxb7/Fchbe3uQ682idklRaYtx+PUuj0Qxho/ItLNmR26d2yKhJbqPR+OBq
LMyeVwdamlMaPgJN4lVrUZpKbw40xRHhfnMpnyhjnnipuTfpyndBFtiRc2fn9t1Wd/rDl6vICT+N
3mPqTV94opuNsn3/rMpLn+3tN371WL980Ff3hdVHVmkFLCPtqndFh3DN626dXYYryyNhul5Ja87z
SnLAftqhR3h076mn/On9T6H96VO8vjvfKEJSv0lNGQTl6X7cyh7DlZV1YdjnhsQxd32nOQfmcWvr
FK7GTX6tbW5wfK3HDeuePa8L8C0urTPXcoVDt8nXzTkE7WEH7qfC7k6iM621rbVlaLWpb7PV9fsf
/Y1l7XvF9Pqjv6mgBbmJ0lKIuC/twi5XzbdyVd5ILmwOlwGLG3n5KtsV64ung9dt4XWPTrwjQmIX
n4hvdIixTuyvvvPp/U/1or57e1lffSp9aY6+uqwROUy1ofOpwq1lh868ydb+TY77nRAqmxBNu3bI
gFuDu97In2mkee8ff7l9fz/8P5+jN6sNSw0R6+U0nsS58Ixh2M9Ccuo7OOLvH2dZVd47zptVx4Su
0vdzOp2oqe1+eBLHzUCEhuJV2J6FcvX+0f68xv38Vm83k0LG4q9VcXci7Ied31UZXP5rB3iz51NG
E8dGxgYq0fZyTB/QMtz3j/DBhXlxw7+6L4SsNHNj4kEryhNeuVUpw8YzP7gqH52nN4tbI6VN3Btx
exqXqzKnhDrHzr/2Pd7cYB0Rtx0RZNNp6Ecn0k+QNJ05u3j/IB/cXcabVUn3A2GiOcfbgIGsauUM
3ltCADrHmBonHuRTH0QfnLo/Xh8N6yt+MkW0FqjI6+fWVAAtlFHbndTsuWZcrYQ0+dbvf60/Xp5X
x3jz0KSBhRU8VMcTsEL695dZ9kFX4aMDvFkS5yQbmdFW/Ulk0aYZnSjpB6fp5f343oO/vFBe3cch
IBBQq9zH7A1s3L67fpMc2SKgZHVCLzh3dvbdovm3pcGSRvHuWrN861eHlOj/Sa0c8o66pzGcs6oe
A45tD4/SYd729sXslPyFrXmZQ3rApWBftd7yVr94qC6UHbt2kns9XGyb3AnXH328P77IX5cub++c
qB5Eyeehk87Li1ywCR5Tt7nk2Mlade9ye8fgev8sfmFzVt9Oe9IGP1i95GV5eu+ivLnuvdDoYWVN
1BJu787uNNuyblv71L2yTvqB8B/3QV75dk7HdkVU6Np0hA9W6I8+gvHmvSfAmUT+UbYncJP26NLZ
jL9qK8k19t23cVN62YFR/Vp4Dh4UZ1wnZ/CT395/ut6oCn8UBP98S7y5T5JeydQm59Ykf2ZV2ZId
LVXdNnFu+u243ZKtaaNdyuw7EcV1tirXxgU2LLfzwi1Y2s/pByvly8bst6vyz8dde3NKTMFiNpSz
pFSeutbXOllVq3k1H6K9ZD8FW2KrHXNbbmjqHUbHuPXQ2XOJ2nWyuo7cpUj4qzj49+heZU/ys8W7
6HL/0tsuCoT//A/CpfkvTvrnwT0/+mNwj6UZGY+EO3m5ahiVXw3ucRqJTLVNIh/VJQXnp2wWOxGg
DH1xDakvEA6e/x+De/0fxDooMuN+EWnSEu3wRib7nmz2D4N1U0S5KxIER5YKuXBvHnNDCqQ0rbXi
LJvMVhBbLqTsJQR1ETfJYyDRaktWKRbXPMvlEtdu+JBhf82wqZm451D+nIyu2saacJ4FEuqZwThp
bBSHdPHSwv75NGGuNa0ScWCzhJIJrddjwNVr/xyT8EbUyuLLLWLjcgzA2Nr1HJcic3BdLFxTG0QP
IddpDqMex57ar0M/BFOsIYjJxTZ0IolBXMwEUgomVzID8pMLHLSiVqDWHDIXWBHs6aXtO5GTD5ON
DtbYQgbqxdteAr4FsXCQ6fO0lkqPTCSiVau1J53v6ZQZv7eyoHISTP+Sa4sXJ4+fLILlvMkvmA5n
YUL0dbid0SVt0zJG/5mNXpEL4lpkPLXXNGE4+BEZD/Du6B/U8S1BCIktpGjsakbkRLMhpSLMf5ix
J+rdTR1VjKeS6lY3gnNZYRNGqXtQR7CFaIOWPNq8c3OBVuKgipVjLUFvSdUdyxJZYTIV6YrJ45pA
i52Wy5+yuEcqv3iIBtwrMw1tQ6lotCfR115SjkE+n2Y5653OUJFWxvV92mJJ7gpEp1F56EIzZsok
Y39IIHfNpCwUCQ6kpogVqMGx4qayvo1b/TLxJ1pzQzMgywy8Ss3M1SAU0JvAY5HZDOcZNEclrAsx
O2RZdJbSbq8oDN9ZXvck7kwctLmoIr21zYRTI/bAntRFo5AHThN366pSjoYWYmixCsGp0GYhTqVV
WgrrOhZwaxTNcSZhhKsXIRA19StZl48Www6vnigr1Uylf5rky2h0juxUbbF1JKIBjND3GrxEozWG
qz7Oj4Hqf56qflqlgrkOGkUnKEj8pFZEkCgVc4Y0dqeq1WmYB5fBIB2kcQndHkmEtr7W+oDBvm84
h42+DSritglkP7Rdc47oYQuXRWGk8zcCoJKNQeixlZSfYIhUMFn6fbPESOcMcXZxaz0UiXiFRPqr
WU7kh+QwKYJVAEqjbIad1QqrWpT3RRqeoqLYjXFzyov0AnxXQsw5qunU74at7mvPsy50sR0PirqO
OvqgCCr7+VrW52NQ1Q3o0WggF0ob7UHROa66Jih6PRhzs6gSAHUoF7X20IDdYGZu3eaWhI2Xnphc
R3bWatsBjmRQzhfdLJO1TerxpHWXLHY06lsXJwEjyIi62q/8C6VpDxgCCpzM7R61/RVa/iX/8XqG
3gqbAbZECM/SluuWByWDQWcFEvraKY1WCnUzM6VgUyGisWW0eF7BeMUWOu6cvCQsPJdk1c7YNZij
cG+o+XNRi18zUwY5XKSfZhJlNAnR+liVqqspmIbF2jdsQte/MBXFjp2Ex2g0WSZE8SIr0IrDTJfO
0CDA6hmjJ87Dtw48mZ3p4xUIHHQyef8Z2ceqUsX7KTKOQHJXjFgY9448L6baqDAo/j97Z7bURtal
7Vup6PMkch4OuiNas5jBYINPMjDgnOc5r/5/tgQuY+Tq9iciWn/Epzoq26Skzd5rrb2G5/W+pL3T
gC2BNmgPAKKzmZyXl04Qn8gQA8aK2UejcM9D1MVngRmtMmTCji3JuLUBsfPOVOkd/QbFQpXSPVyr
kRIW8ICwnxeSetZzDC6tzLk2BkbzYx0p1JissRWrzOKFBCuZBtLWqmkIAitQR5U+dQKmE5D3mtYD
6WwzjueKnX33nMcgt66rWruOWBP8gDJVvTSe1LF9CUJzIfvo4rotNRNw2Ogtjx1omTZc+gVNO0EY
O7RhSk8Bj7NtVEENwzuODe/cZwB8QudGe6JLSjrnFzqsDGpffUq+NcnRf8sC8Il2unJ6Ogkau/TW
PepzroQgq3biAzeiYmJ9BXcQrDHHdFrDuvb0fiH5xSc1QBwZFXZUAMxm3kOqnDhe9UhVP5hKVDhK
wxonbVEQ2lOrpGvsU2P0p+CKQ2iHxbKhddOI8vMuy+N1rnQXXt1fy0M2p2o+LAwgDFnhrCR62+iP
GZpF16jPkQOAsbKsq4QRj/kowA6bMOLf8ZTOBeN/jKeAB+2YQuInfwqnDBSADAawiYDsN/AYlQEl
RoCAwIC8piXy53AKHc5NME+MIxKkb8IpErhICdFGTHT0Z9PZVCTf3Jp4ki3T64CcFjEdyhyC8/Xz
vdJxIeF5tp1fpIgXQL82S/rcAKTGffolgBc9V8NSmVSkR/HxKM2ORr0uDOV7i2OcZEnSHXdiyIGw
IpzVcrPyMgYOWA/Irxm0lZRinpC4Ca3wW+eWMFdgVaHaCKwgrtt0biWGTapscC7pVLw1SsAc9FMP
bPPxlETRLToDKAEHX9xQu8ENpxeWQJBkAkbSCCyJ3CvBcQKpxEV7ETEM5wpvDCOPnQ8jpll4Koch
5VSYnI4w74eF3KdzGHbXBCoXvThIdImft5wsTy+WhjhqLWcugWuILDWo/yE7q8Sx9GptGcmOjxZ6
9TiIo4vUWju3xHHWONdeUHyCLroAKWiAGGd0qyyDdYstUBTfmnZ9R8JGaESN3Ho2tqNHdExYk54q
5iwuBXd3vHY3FkfYHktYoThgyiXBMDl5cOwIS8X8yHzEdIXChgXCmmGSlp2wb4WwdJKweYqwfs2o
LRrMoSbsIlVpeoiwlFA0rtGcAG37pGJILR7XCMsaCBvrK9WDDxYGgC72V8cQh8Iia8I2a9C6M2Gt
B2G3TQy4jSFn/jq7LBKFQTFsvCysfSDsPgg4dQkE/EYXPiFqnZmNk8iFtyAWWkXCf5g4Ell4FJuI
3cXFVFl92eFy6hgRI1xQJnyRYgRfHOGdUuGnXOGxHFzXiAsbiuFOxaURInzVhY9LtPaaYGacKLg/
3rlHrSt+boVnhHysTQploDsVr+niPh3hR1ut/KYIz0pPropGQ2p+9ZkfmxdW4xjzIa0KXCmtVYhq
I2aQn3utZB3nXlZd9VWmCmUur0YWOmfq2zBtgh+7O24NbWK7FpM2/arWUGY2NEjIbnnv6HBHaJNc
6VHOW1C4z5toVXYk9BqDJbY9dykl/nir5Zky0VXUaLTc+mQX5kmtDM+xX0QzJTKuYxdVU3NsmW5o
z1Uf7RYHZCZVtlF0RzyFY+6s68x6YlzXm2g2BB2jdSp4MNUVjX8scXnmRrI9s+DOH2cWQS3V90kR
6XMGx3R2uA1iqR/4ib6FOt95A6Vvl8E595IGtgbt61pGmKPJpmbDZLM7xieFmsrzUTYLZjDouaTl
0nLT4y5Uqxnl0/sQhbKJadb1qa9LtB8DD3iWZTe6yWQ9py3VHlCKiX0ai//tnTb4EIG5+AfvFDyX
Ozv0+akfnkmGcqswIivQYVs9qB/zsTDcDRupKEqDUDVEDuC1Q985ssTUKikA+vQ0w+GBrxd95whe
iCqadyxN1UV64A8u+jtA7TTnU3+H+06/vwo85K1nGjU/8dUsAHxr01TlJmM4N5WvmfeEaMJocEMs
zfQ0sFsh3OCop13On5cqmvFKetEU+YKu3Ou4ab4yMjlFBrBfVpF/l5bGEimIay21z3KH21dl3Sum
Tj9wj2aBFZ3UhlUxemjQ6Os1t3mf3kCSgErmyPG0KLh/y0F+j3QBQ1HqiYFkW6IUD6OPxQnHO1WX
imnS18yMEjv2oTWNEFCuGkiCYTreoVO96vwooI2+vuwt/x7S0u1oZ6dOWNwx/ZCAh1a/S4wnFWXz
mcZVOqkbY1E60mK0xsvAYRiUb7bMnbCZMgPJja5G7NllNM1yu3WN+hADq/bEQ5LRKrhxVa3NAKr9
ueiYIBYEqfXYRMqkc5FQlmOI3p20MrsAf0F1ftVIwzLTKYEq7aTLzesub66HOilvY2N4iHPcgwkR
2/PlL3JinEAfhvAo92delBuIEjEKYITpqm4BdfdNc6Lr1RrwY8Z4K4Rc5alCmc9zm9uBFAmtdMBx
GdilcZ/mspircmzpz5qFL3AM5Xajx9zJeosYl7uoK8+bDF1r4u2HVVgNS5qU5jlU46ZizTwv1iGk
eSGtblFYt+V53deKP3etMFvWBlfFkzoLaK7Sc7leZzYpl9pyyL2odRhOikwu6Ufe6IBWG03QuC06
UgSGWjNMJaMa2m8URMHk0oIY61wBuEMw3+ZApyrwDgiQpkKJlMSNOtN09CZVoVNKn9SsG6tHOuu5
xETFdxGEUbfjMi5UTi2hd4oI9LU15sOJpVnnkq/aSCTnPENmKFTy7+Jev09t9FPbvv2Ep0CfVGir
6oXxFCK2ymzf81iXw6RFhtUzdbYC1DBaV8ivVOpJKTRbQ6HeqhvtZb/Rc3Wile6X93Zk1AvgZPHc
QPx1qLnz5LqJRrXVPVW2KuiBXc/OYcAXxWp7Kgsl2diTzj2Iz7MUidkUnScd1VkD9VmVjAfx2omZ
psswy69ajSFyhldvc50OKhMF25hJV4igxFiy+cUV3FKDP7Fp2vLG4ipABXfQpeq0q+5Tw0CVbJCy
E8myxmDGo/qJbEUzyfQlHAizs5JPm3bZQ9Hq+I2HfnGNQIG3jnz/ZDTT87HMj/s0/472DAgwvWXq
HHm58vHffmXrV8jc/oNfyQiTHnbcePipH36Faw0iq/BfbMPauIGfuQsGe5CJhVeCwg+/Yh/hhRh7
J30sMrui9PjqVxAAwaHwLEygjZKQ+id+hXHhNzeeDZxDtB2rIKNszWYA7K1fIaPG7IccyheqZoBG
NGySeppmNo9l2MxbHcK2nLjRCsIRM5mK89mtW3/iMu5PksD6VifxJyvpHJKE6qypa5n8ZvCNkY11
1RansCKZ50AalnC6nblmW1NEVb52Vu8tK7WrTpKiWBctwOsxuNBqaZ34zhkaVhOlrJxp40LObAdG
UK3KXqUB93WQ5BaSxXVnZtNMGi/RfHNFk/61qtXoAloSJy9FrlBS6L6XbiSfXKLbhlQGg2DhMRgR
h3dxMHztPJTBQiO8rkp6ysqimirY8EQuuJqhAjFkmXom5/qFT0pvIivgho2cW1FzYlfuU+50JwGQ
FBW2wJXeI0vmpe4ZDZi0M6vSPbHcHKuhPHBXElIi9mysys+BKj954CRwJVoxJW9z21sSo+YQejNE
LqLIPhtiz58rfAdXjs6CMX+oQuYVWjcK5pBJaThXC2OZGi73JZ9OeTu5BTR+Qdfr18Ss8XWWetrb
xbLWI2T3EvTgW7DHduUtcTkXkUoO3ejGVdMpdOGMjGmZzqLpjDMkUZZybQPhtMOrNJERmE77U7sa
MUA2LXxufhf4hjaF/I5/cKLPRTVYkyiq74yxO0HWpZzUVfI9s8szVdG8Uz/ieubjGNLaZDKooWO1
VleVi72rCu9Gjcu1nJPhYfzWOe7MJp+rpv+UetYnzx2WaED3cxJ4x0OmMp2jSc+9ngtLtjDD+gt/
tkoz7qF6a5NCVJkN88P6EnBFfOr0yY15mikRklYWI7WcpxmSz/7MaqrvhCWr0CqXZstkMGwrb8E/
PFOaYp5nTK/IUdvSelt9UtpyiVDUvT4opC8bxGpsA6oHlNg6o5M3TRMwYv6wQD5wodd0U4w0lA4+
Ezs09tvENyVxVMycQiI6BwdtqXrZSWToIEfBCUYIZehRdxz6dD36JVVJyMqy7p7U5BFQVAys4bHx
svKLT3PLzPecxMZhpNa1mtOh4E3sMpGuZAK1azqrcRtKHyxqTV5Eko/6uOp+j7z+2TUcmeEEIChy
YR1baf+5MstvddSgwZ1lV5bHFJsfXSnc9W07MaZMoMzy3qIH12rRnpHLhU1jKS31Ol8u5+bHXUjr
wxXts/rcd5FkcGJrnIZtRcATJLMaKU/NHB56U50Vff/Vdukld4ZbftG0d4bSegik07Twl34krVNK
AmakTL0wZuTLXYXMY0Y2yta9nRMGjcdaXn9RinLmG/SOq3QAtwm8ei2gMzwoyHpG6sTprWUHKCLJ
E34hn+syXA59s2hsIgOgk8DY0PNJLYZ0qpkfOHdJSPtyVfqnbe4gk1oEzqJPTFQDI9KWhXwOuOOx
6nQOAcNIvYWIqO7M0GE8o/V6jZoXZDAVDWu16/jdMpUogZyrysembC+4PM+qUL+RAw82wVCejpFl
Mj6ZzvWIUyiDcSmQ/16gdfLJaNxnZqrYnS2iA44HeZvBJ4LgfioVxkrXkktXpozgI+gXBuSB7ACJ
c70566z0pJdockiieKp7NvMMaLGb9orMBAkZeelYzSU8ii+ymq9dcqtIlFnzKIyxf30qMfSQXWsM
ykyDsbzQZYJHL1wJacQ8aM9dc7yB98BcWn3lqs1xWbQTMLCIzxMTjqO6MM1yrknKGiZEO6tQ5MYK
awvHqE+Qb1jYyFBMHW6rRS5/o3OQaTy1+aqhSDpFB0NbMyV7qQhZTM+7Ukb71LGHlnE0SCHm2B3L
ZoRADEkA5v64OkiBkE41GtTM+0stlhZRPFyqjv0djWyIIDlCoCgclLYE06JIpx10+KHOL2vLvu0D
hh8TA63TPjGceR+q8V2kuQOjse33sGpO/F7+HDcpkWx26jvAZpsyuKbqATim/G54jHA1Sn7u93QJ
hONtpKhMyrTRZyzwvEqNq1JyGfKVnXvJLL/0RX8CSRC4UJNYpCSIUxWm75Gk9HuEQTrvRK9FGU4f
1m5BKgIkTQHAFFHt6HMbSx1ZC8A8C2msu6nd2/NYDtaqEVGq65Jx1mf+k06b9Gxos56hOuXBGccL
pWTMlnDBm3l03sMKCRFCLb5bkE+nTk27TWBhLoc+nZFE+5KF6mWWqNfAkJBcynRmXapHrrjkJEV5
YrioTBjxKvarZA5xkhrpbT9In/M+u4kDwt8u1WZ5TPXLHrqLNoKuy1zVpzHNqRg2YXNVQrGZGyTQ
VrpA/ZoURxEfUlAO+x8afVTRO/Z3wwQJWSCeqOyppqEIWRjrl4RsVdiKPjiac6F8SiZ3xqK9LKZU
cabOw811dZYdB/NsWq+CU2PJmPIqW/jHBuqyZ/7y3wHuJsAVHSi/D3Bvnv2HXQGu+KkfAS5gMZ1S
IP0Or1TVH4kT7QhAOj0SpNJJn4gkzStYTD7SydrbNv3dFmLzGmHpa4BLTgUUqyWjOWTxQ3+mcGco
hMpvd5DQ3haJGJhiNnlt6go/p/TTmH0V8zEuWsePqlmoAWg3ZBSIU+m4ib25UiOTZggSids2a2Th
iB0TZpmV1jmujcic5uSFFl7IJKmUUXUKEzgaShAzs5PMwyZ/9NReoU5cNz3lLDNrpJkmNZ8rxlyv
B3Sol2ZpuuT5BirtvUWWFxBBzpjTGReAZmJ4Ko3UlvKtdqvvstvUq7xLkbIOocUzNhXNQctcD0p/
Bc7EvCq4LFLL7yBXximNSghzTGJHZOsbWGcD3eMUOJO53UcQ4htppYSWOw9JZ6IlFzwpqdojTtyS
LKrTsMUg4Smp/sLq1phbidxUuXDVkF6tJuXP4F2vLEabJzlvPwYxcrmWDOLEocdiJNqBSiSAK1pH
toJekMznoqmu6pJiRp2qDzVTgiem5+aTrG4NJnXC68yoppGZnbSSjOcyNaaikmJYjj4ch7KBgNkQ
nZXIj87Rt73Nx+qTU5YryG/22ijGy7KLhhnhyhfq+I9ZmZ0XmI5JqfjHoFEvjdq98VoGvzvki1uE
wMtcX8uNc2agcDFD8cNEYVq3KJBnd2EXHyOmfd+HNbrLjvS992ymJWtnEcTtVyN1nvPUKtaKTpwa
prC/U5NlaWNiAc33/NMgQFI8Yqj6q5pml/YQfqYVIZl0CZ4UudIeJUSnI4xlEm+sqi9mW93bJgAx
Xc3mEePouGAE3sDdfc40lNITmVp4b5verJL7m4xffbyhSgUtqifpCCDfjKVs6unNZS4wVLIAUpWQ
qfS8vmshVSXkuBaupjzlAmLlC5xV6qqEKgCuvNRqF6aAXjEF7vH2ar9sZHKI8oaOFSjgDHJdW0sC
neXZiCZodsZBgKs1wNfS4WxpArjlIKM+V8IqmjVm9b1LIdJUMkKKnP18mgtoVzBaSMe7zsSChQc0
iTPi9vDzW4H7cpUCbUJqYx0kMK8l6PTt/kKDEabCCiNQuTAjGx26YNGoa1or3O7M4ZlwQz7lBbgx
E+5YlJhfLCe5AAgX0/AQDjMXRlnE4BeYiOcqre8Y1ZRJ09flJAtzZ15ZTjnNHEoSdUj9JMrPVLVZ
VlJyW0FFiwrvtCaKXCnw0gKVWAN+mt505A9JJ07Kvr9IYnU8tuX43ge/Zpjw30y5s9ZhYZ2qTnIe
gGqLBbON1iiV3poIMXmTUo7nw3YD8BasG3BvKtg3quX3seDA2YIIZ4KG0y3jS1NWF6pgxvkI9816
wZFjXg+2hmDL+YIyJzX10tO5zIHpJFAERdeZ7hdE5lNCLqYwofVjevg57gOMWdQxuhXR2h3L50Jw
7nDxogVKXcmCgedzY0VVhzCyBZCnAsqrO64VmmDncUvWmVwszVUEWI9hmRMd0F7g+9YElrvGti5m
MjC+ESifKwQ0oXsgC8GkH2lG5RoxI/SsYJB4WnqlCrof4R5Zp2ZZC+5fkdouk1TtVUlziwsasPUr
cnOCFZjbx4GgB7pWchWDE+ytQDr2AQwGgjQo1/2xCXqw9WJoe71qCN3FeGqmXTSPBatwlP2zUdAL
EbvoZ1IZf/dG96bIPXpBFEIZTVAPez98KnNiswweoizIiGTb1WlqQkvsPGlc1QAULYF4GovxaqBj
ay4JymLkeJ96LZg3Ar8IhhFWS7vQ8/KYMrWPF/A9suBACzTusdPYzIyFmwx3CUk2KMoPRdUHy15l
TN0G/2g2ya0KDnJElEFoos31Vl+UACPbzD4JAEiGlQs3hU2EJpgJAgXM5GApjyPYScPDZveAKNGV
nBdK+Uz8dVYDqmT6eW4JcmU1QNXVlPvMTmduRAq8py+KqtbKAnope/VCb9kEMvZIUDFRRrNnpEri
aT9YNznozFE3nqMaQxloZjanTrvicPeTGgKNQnkKXIlzUToQsVS9I5AGFmzHyIVaAibVqkxXcrUt
GdQlaTpmS3nwHvCd5TwL/IaJO5oyZJJKF7ZNTxZyceqyrMq7IFI+GSkyTdno3CpWfR9CPpiU2IVJ
BXFzghw6o2W9Ak7T/kZev1+WTsldM/tWhgWFODt7qii2IQFLfS31tfEc3QZj5ubFJT6PjAx/1+Xg
ZxwuSmTCCdWlbO4kzZNrRsgsW8WT5qcXYeggyiK53C7RRVIglUx0b2DoKnPamdfXOiCahlJ/jQVz
bYOBE5lTlgeQNekRyBpvNUDPnlvYSZSYgIqmn4Zs9JeBFH6NLAAiiLFRvWHox42WxBH8Dtz2k2Ig
i1q0XNFHyVrntY8rTmlhJPNv0RU5IhMhKdUFPZMzb0i+M2+XTe2EIj1YkUkleaeyFhAG1/l3W0qp
/OvOfQeUfS4VzLFTt0V8C4RODrhILhr3qkQ+AmteOe6ZTsLHD3RDAogBFE2uI6c4z2KIK+akDGSq
CyHpuhGemlP422mEf7fHGFxcfh9H3zffdqSJxc/8FEUT8CJ6SRp22xb8d5oYVSWYE9A5yBW/bYxx
+BuH3LK4IGlIGlCZfI2i7SOHG5MCbQx4jP2HUbQmi/Li23sYRRdKf7plMTvKjPnbKDquy1qms0u+
qMPsDu9jLM1Ik05UWEETx1byKwPChMhIOOd9BOcoo5WDwV79uMwM6KQpni/QHeO0JGyZ6HYkxGrM
Zds1n2K7z8/KUZrmLVFhbT8qLYo+yMavyEK7KLl0a8e1F4FFB3IeeMtGwONTR0QeHcLOabnSAz+9
KTwPXeA8fzQZWM+a/LZU0LrVmQOfmF7xGA/oymeVjtvsulWf9/3UGzM/vZI1e6mEun4paeaJC0t1
XneyO006iRFQRcAu4uJycOsHq/Ee3cTuFmgPy3MPBbs1UFFg/5l0TZtdfOnQM0H4Ta8wwAnyRAiz
zNzA1Kc4GDqk3YEoRy/npaM9VYF55RvFuV0HND340V2gajd15uQzKVSf84gI0h2925KWoKCo1g1w
VJojlRXphCdZjlLqPD6UHui/MlqSpnqfpN5JODo3Cr0sE2MkHVyq8k1uhSoBqH5c+3k9jV0Xpbka
abqmgpdmVXeogJIZYyAfLiEkVV2+xKgr4L6Cq8BpFcCsAEaOhwHs1kANSaaWJFNTssfgpBVFJi2s
roG74h0MmUGKMqmmFjWpkGgVvx4jeE/5oJAkUo8plz3o+nVcRTTKoBEUpJV94aj5sIxTW520ZrhW
6Eyi1698VotWnjij5V1JTSQT4xiPDgjL82JQv8eZMWCnzEye0Z3onCN3zexmWkY0sQAOYYg7WqRx
mh97UXbh0wEOGtG+oJmZENJE2dMbMghqdEtXSnbclOo5MpjptKGXGYU9+pSUhr5wxQB80LekwpXm
q5n7n6OIBuqyIapV/XQ2qrSNVx6LG6fcC8iVf7YoqSpu9i2hZ6VRNP1YT6Urxc6/6z65JZ+Qu+jt
aRqZ5VSuS21txsU6N5PjvjbgN2gXgxJd6FojFPBIbcpZ+EXu3FsjQQ0I+wweTbJuy9qD8aSop26u
woexIWYRfaDKJMvXyVAfy12wLKLwOghQJm/ie3Bp39BmzqZKBCR7qNpzu4yaGU3OhMdyembYLK6h
S8dcbJhGkUWjPBreVDStU1qXHm111GZVPXzJNUghrcIwbTXSxVaPIJbAGUXuKFMskM+7uPvms9Zz
U8tdoqqgmGRqfqel+ZlDAs20s0WI7i0kH/exlruFVdICIMVdMe2tLJtGYQMfKSq4iQHfSgfjqRZ1
iYIqfWKHp4VbqtMgT6IpyDxoM9VXOyxOKHDcKtH4WYHVxefDP4tGs845K0VzKh945o1tB0gmAkrQ
IzY4yteVo30daie/QOo2ngawXY+laJDWWcKVMaWC3kZ0rSGg6+fRtW2mBiMEOjl4XXOrtWvxlLH0
jVVi6XMQfQ25BCnmrqJehbKaTmw0jUHUVONEyqwIbTQ28WDHLZ24FtdjkfntsnjG/APRmddfhapM
ucyQH2GYv4xk/n/gZ18+4k4S/o/RFvG3lxmUvpvsHS7/f/WPXltpdj/oj9D677RcNx9sA/f/x+fE
DzWzn08ME2kq0tkQmzaEnjhDpHj755KiWEcKaTEcseFsXpsg4acl+t0i/PP3u34nOvD+Of/42Z83
Agbrp//8D2WTBVRJmr2JXv58DZwjBjIoIcuGvHlRR36zFAxSETBCEnG2kdLhLYJMDnLPRbBFrZ+E
p02m8+23l2kU27RtoZnJa/tW/8dr8HPjgsEG/Re+Pl/z72NgHYksMArx2+8ovuSbRQCCC4wbkgxj
agd9Gigy7LkRTJi+JtlrUL+b147TYBr0INElvHmv/+OdwId4axJA1Pwr24HnvNkPNnoiJN2RpBYv
jMyb/aAyQAkW2DrQNaD4tP9GsNkI9HKhRvfrl1ewCLT3wLY5yB0A1v3X0tCfO4XNHCxFO8RbNq8d
FsExqQ6pFoLB4nWgSyGQB3taBADg5N/4ntytxUsclZ9DBQ6DoxgKzcQH6x+3pmoLafgReP1RoOQc
UYmjYZMoYPNikOftIihHNLuRXlAP9VAY+y+CeaRpMsxaxCY3rx2HgqYG22ZK6kCPw7ui8R9bBl0+
YtbLZOrlJRTg5L/dCfgGDRq+KRaK16HuB31vy4DGlmCO2WTwtodix1IwjmYaTKYd6H4Q2cI9zSN+
0uFLMmCx2zIQO1q86CkltOa9Di1gMtBA+4BFQLtet0Xc+Lrpfz0U5PHp2X15r8NbBHm7RffxEfYR
MnWqQu/HdhHeOUr0Mmx6Q8imHOhO0PbfCdYRZXNKATStbF/vzaOuylgN7VBDJjGgtKdNcI4cihpg
t198xLv7g3zk0CPPQPDWCB/gcdgaq32OA3kVsdmxjL85DipzazZdLy+e6AAXYW8XqTHzoHASELvZ
7R0InsmpM2ChEFEepHeQ98+w2UcWw4cchxeT8C5OIMfkOPiPjQz04YZM8t7mUYRMzMRYqtgU4vXO
MuicGl0js7AN1w/wUGw36j6WwRRxo2mAD9guwq/7QYRMNo0oXCQO9VBsndc+i8CNktl54Phsql9j
JWZ5FeZlD3ULvCOU/fEtCs6YRsKZlMLLOdhxnxYXSbLuh7oFlL3DBK6SomVC199vAZ3qi8LiMCe3
eR3oMVC2l9t9jgEVKKpPBhmmbZTwa75ZMY64QWIrqE6I16Fep5WPSK/QbI5RIOv6+lt/YxgUccFw
TJODcaj7Yf9LlHEEnFbk2ba/7l2lGBFRwR/cxiWH5yDFIOp+9weiBN2RuR6gaLR5vXMR8hE8BzIO
yva9Dm8RlP3vD2QbuUrDk3ipQO+IEmCTQ6oQgxMHGTq/xPT7mEfziJQCkYD1con6NeWqAv8wuUBs
+JmHuQj7B82M3JBeYwpm6yJEquaNYWQRYBZzozYPdidsP9g+O0EH5aKqmv16HH6NmPAOIF0JqijV
HLKjfLnY7LMUBI8yFDbIalvz+OtSsB/ABTishH7QSyG6XvfzFMTRTJzRwUOT7eb1binUI0bUOBhC
o+sg7YMQB9tzETRiSLIHtvm7FLwFlAIOvnmw0eNL1XCfQ+EcKeLrWzD/Xzf9WyOpkVmwkEgWOYeD
3AlilHLvneDYMmiSl+DxffSI6RA95wCxD3QR1P0DJxwB1aYf1vFdjon0CpLZNg32h7oI+v42wSIk
ADdjmL/rWqCrj/leErOHahhfCiT72IRNFwtzD69NnJz8tzaBWrVKlsV5yegc3j1CpEb2tAkcB6Hh
zj1haxjfRY8sAsGjAOUdqE0QsvZ7LgLwfoMSLVeJbZzw62WKJlfofDLZqO2CH+BO2D9Ygk0FMYpI
4aV/5d1OwCaAm1fgym9fh7of9s812UfwKRwuji/ta+8sg0hBiP/IxYjXoabdhJDankeDXCtlSDrd
XzzFr7uCVngV88DOOdTtsP/lkmsElwgd2udvbCRiIg6pGMfZ5iEOdTsYH7EdIMoxDfC7iq2IntAa
l035UAMHY+84WlQmSL6xJV4SkO/MAz2feEyF6v6hHor9Q0iDuEA1Gf2goUW8+KpvoyfSTlw06Pk8
VMug712j0vQjbILIH/y+Vms6DIixFQ7aZ75TAfjzmiW5WIvGTlD922/KDnu7H2ho4V5Fe+yhxlD6
3oEkloFGRibDtN81uUENtXGonJwDtQzviNt/vhOo3TPWTnV2GxztSkjzlxwbOh5fLAdByuHF1O9m
//+VpWAoivIs2YTNi9D07aGgMZ7JAJs9c6D74aVZfb97tmMTIxIfbRdhh6dgtyioSR7qIghO755x
tH0EKdTkqv2yE36No2l1Y9gUEIOYMTzI46Dvf8UkC6upKk3AL+7ynY8AiSFapf9omPR/YTh+zB5P
/SB+2owmw43ajLhsZ27/x3/wOrj7/gE/Tdhthi3f/MubIX/ePns7hyf+/78enpBwmQVVXQaPtbox
fD/97ash3LzTy8+/fMX3b/7mzV6/1+sfrpBHeCgfARFsxoJfPuhWKPG/Y/QSnx52zwf+/Wn+8z/e
ftifjsE/Px1MzvOvDxfW/vXPxBf7Vx+ePDxl5euD/h52FhHo3p98Asx61wfHcO/97OlD/NDyK6le
n/XTZ8cc7P/8LG6qd79SVh2L8gEPT+sSac2sqne9BX1oe7/F7Dn+6zwrd64/4dLez5/Hf82yks3z
+qyf1h8Dv/fzFyUsul0Px8zt/fBl/Jymr8/56YNjlPd+9qpJvmXxU/36qL8fL9r49n78Osmfy+Ah
fn3UT4//iCO7Tocdiy46zvb+5CfP5Y41F21F+z86SL0dhkB0Bu397NOHaIcNE+3CH/DoqnretSYf
cUBPs+qv/0695/h518p8xBE9e3jCAL+uw08b8SOO6NlDGexamo84ouLZebbLuotx7r1/rWfP6VP2
GOyyXqL4/gHPLx+fn14f9Pe6i3aX/R+e8dlfn/PTsz/imJ4hBbLj0R9xSnl0/Vw+Dzse/xEn9fwh
37HRRd5h7wU/f24f3seOkAU+4ohelA+YgNdP+dOv8yOO6GX88Pi8I3YUOcq9l+UybpJdwZ0Ymdv7
4dcBoWMVPO1YGdEZsvfzPz08llwJ0nrHdtc+4pQizf7X5DkNdr7BRxzV7RuU6UP5tNOQiWLYByxT
+tcsePZ2rdJHnFrxJRacgMegetz1Hh9xfMV7HGcPRbPLW2kfcYbFO5w2QfXXxbegynd9j484zOJd
zh7q513P/4jzzPPrh78mD+W3h10xgygffMR+4j2m8e53+JiDLb4FEMPfSfhukgN73Mc/+Q8774Qi
nb7/+vyTxOPenzyoomDImtfP+bezEXNV+3/2LH7YFT2IJpIPePg/aJTtvTD1A4p38UNTvX7Sn5bm
Q46uSLPs8MMix7j30vyjusW+S3NDjB/UO4I2UVfe/6M3WIIdLl4MO37Aw0kQJbvyciLJv/fjP/OE
ZpehFG0Hez/9Pot32HlB8tr/0b+nOP/zbtmVlv1RyHqfrH3FO+76sbe5aPEvHuPnh/K//h8AAAD/
/w==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2.emf"/><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6.xml"/><Relationship Id="rId4" Type="http://schemas.openxmlformats.org/officeDocument/2006/relationships/chart" Target="../charts/chart2.xml"/><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chandoo.org/wp/" TargetMode="External"/><Relationship Id="rId1"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hyperlink" Target="https://chandoo.org/wp/excel-school-program/" TargetMode="External"/></Relationships>
</file>

<file path=xl/drawings/drawing1.xml><?xml version="1.0" encoding="utf-8"?>
<xdr:wsDr xmlns:xdr="http://schemas.openxmlformats.org/drawingml/2006/spreadsheetDrawing" xmlns:a="http://schemas.openxmlformats.org/drawingml/2006/main">
  <xdr:twoCellAnchor>
    <xdr:from>
      <xdr:col>2</xdr:col>
      <xdr:colOff>190500</xdr:colOff>
      <xdr:row>0</xdr:row>
      <xdr:rowOff>22860</xdr:rowOff>
    </xdr:from>
    <xdr:to>
      <xdr:col>25</xdr:col>
      <xdr:colOff>190500</xdr:colOff>
      <xdr:row>43</xdr:row>
      <xdr:rowOff>22860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43100" y="22860"/>
          <a:ext cx="13258800" cy="7863840"/>
        </a:xfrm>
        <a:prstGeom prst="rect">
          <a:avLst/>
        </a:prstGeom>
        <a:gradFill>
          <a:gsLst>
            <a:gs pos="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rgbClr val="FF0000"/>
          </a:solid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12095</xdr:rowOff>
    </xdr:from>
    <xdr:to>
      <xdr:col>3</xdr:col>
      <xdr:colOff>0</xdr:colOff>
      <xdr:row>43</xdr:row>
      <xdr:rowOff>12095</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12095"/>
          <a:ext cx="1983619" cy="7801429"/>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49764</xdr:colOff>
      <xdr:row>0</xdr:row>
      <xdr:rowOff>101429</xdr:rowOff>
    </xdr:from>
    <xdr:to>
      <xdr:col>1</xdr:col>
      <xdr:colOff>1367425</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764" y="101429"/>
          <a:ext cx="1547305" cy="462242"/>
        </a:xfrm>
        <a:prstGeom prst="rect">
          <a:avLst/>
        </a:prstGeom>
      </xdr:spPr>
    </xdr:pic>
    <xdr:clientData/>
  </xdr:twoCellAnchor>
  <xdr:twoCellAnchor>
    <xdr:from>
      <xdr:col>0</xdr:col>
      <xdr:colOff>7620</xdr:colOff>
      <xdr:row>3</xdr:row>
      <xdr:rowOff>127363</xdr:rowOff>
    </xdr:from>
    <xdr:to>
      <xdr:col>1</xdr:col>
      <xdr:colOff>1303020</xdr:colOff>
      <xdr:row>5</xdr:row>
      <xdr:rowOff>150223</xdr:rowOff>
    </xdr:to>
    <xdr:sp macro="" textlink="Pivots!G5">
      <xdr:nvSpPr>
        <xdr:cNvPr id="5" name="TextBox 4">
          <a:extLst>
            <a:ext uri="{FF2B5EF4-FFF2-40B4-BE49-F238E27FC236}">
              <a16:creationId xmlns:a16="http://schemas.microsoft.com/office/drawing/2014/main" id="{D636ED91-BF0A-4F0F-991C-EA295161EE42}"/>
            </a:ext>
          </a:extLst>
        </xdr:cNvPr>
        <xdr:cNvSpPr txBox="1"/>
      </xdr:nvSpPr>
      <xdr:spPr>
        <a:xfrm>
          <a:off x="7620" y="676003"/>
          <a:ext cx="1524000" cy="38862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8F7096-6ABC-4700-B180-8F991194D994}" type="TxLink">
            <a:rPr lang="en-US" sz="18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Aptos Narrow"/>
            </a:rPr>
            <a:pPr/>
            <a:t>2,400</a:t>
          </a:fld>
          <a:endParaRPr lang="en-US" sz="1800" b="1">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endParaRPr>
        </a:p>
      </xdr:txBody>
    </xdr:sp>
    <xdr:clientData/>
  </xdr:twoCellAnchor>
  <xdr:twoCellAnchor>
    <xdr:from>
      <xdr:col>0</xdr:col>
      <xdr:colOff>0</xdr:colOff>
      <xdr:row>6</xdr:row>
      <xdr:rowOff>32384</xdr:rowOff>
    </xdr:from>
    <xdr:to>
      <xdr:col>1</xdr:col>
      <xdr:colOff>1295400</xdr:colOff>
      <xdr:row>8</xdr:row>
      <xdr:rowOff>55244</xdr:rowOff>
    </xdr:to>
    <xdr:sp macro="" textlink="Pivots!H5">
      <xdr:nvSpPr>
        <xdr:cNvPr id="7" name="TextBox 6">
          <a:extLst>
            <a:ext uri="{FF2B5EF4-FFF2-40B4-BE49-F238E27FC236}">
              <a16:creationId xmlns:a16="http://schemas.microsoft.com/office/drawing/2014/main" id="{901FC416-EF47-4EF9-BC7D-970F99475296}"/>
            </a:ext>
          </a:extLst>
        </xdr:cNvPr>
        <xdr:cNvSpPr txBox="1"/>
      </xdr:nvSpPr>
      <xdr:spPr>
        <a:xfrm>
          <a:off x="0" y="1129664"/>
          <a:ext cx="1524000" cy="38862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D13E3A9-9E54-4DE4-BB6D-3FE2DC6CE5F7}" type="TxLink">
            <a:rPr lang="en-US" sz="18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Aptos Narrow"/>
              <a:ea typeface="+mn-ea"/>
              <a:cs typeface="+mn-cs"/>
            </a:rPr>
            <a:pPr marL="0" indent="0"/>
            <a:t>11,997</a:t>
          </a:fld>
          <a:endParaRPr lang="en-US" sz="18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0</xdr:col>
      <xdr:colOff>0</xdr:colOff>
      <xdr:row>8</xdr:row>
      <xdr:rowOff>109186</xdr:rowOff>
    </xdr:from>
    <xdr:to>
      <xdr:col>1</xdr:col>
      <xdr:colOff>1295400</xdr:colOff>
      <xdr:row>10</xdr:row>
      <xdr:rowOff>132046</xdr:rowOff>
    </xdr:to>
    <xdr:sp macro="" textlink="Pivots!I5">
      <xdr:nvSpPr>
        <xdr:cNvPr id="8" name="TextBox 7">
          <a:extLst>
            <a:ext uri="{FF2B5EF4-FFF2-40B4-BE49-F238E27FC236}">
              <a16:creationId xmlns:a16="http://schemas.microsoft.com/office/drawing/2014/main" id="{4CB3FF01-EF2D-453F-8D74-2167E224715F}"/>
            </a:ext>
          </a:extLst>
        </xdr:cNvPr>
        <xdr:cNvSpPr txBox="1"/>
      </xdr:nvSpPr>
      <xdr:spPr>
        <a:xfrm>
          <a:off x="0" y="1612309"/>
          <a:ext cx="1525044" cy="398641"/>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348250-24B3-4B58-B8DB-2A90EB980D1D}" type="TxLink">
            <a:rPr lang="en-US" sz="1800" b="1" i="0" u="none" strike="noStrike">
              <a:gradFill>
                <a:gsLst>
                  <a:gs pos="2000">
                    <a:schemeClr val="bg1"/>
                  </a:gs>
                  <a:gs pos="80000">
                    <a:srgbClr val="FFFF66"/>
                  </a:gs>
                </a:gsLst>
                <a:lin ang="5400000" scaled="1"/>
              </a:gradFill>
              <a:effectLst>
                <a:outerShdw blurRad="50800" dist="38100" algn="l" rotWithShape="0">
                  <a:prstClr val="black">
                    <a:alpha val="40000"/>
                  </a:prstClr>
                </a:outerShdw>
              </a:effectLst>
              <a:latin typeface="Aptos Narrow"/>
              <a:ea typeface="+mn-ea"/>
              <a:cs typeface="+mn-cs"/>
            </a:rPr>
            <a:pPr marL="0" indent="0"/>
            <a:t>$649.0k</a:t>
          </a:fld>
          <a:endParaRPr lang="en-US" sz="1800" b="1" i="0" u="none" strike="noStrike">
            <a:gradFill>
              <a:gsLst>
                <a:gs pos="2000">
                  <a:schemeClr val="bg1"/>
                </a:gs>
                <a:gs pos="80000">
                  <a:srgbClr val="FFFF66"/>
                </a:gs>
              </a:gsLst>
              <a:lin ang="5400000" scaled="1"/>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0</xdr:col>
      <xdr:colOff>30480</xdr:colOff>
      <xdr:row>11</xdr:row>
      <xdr:rowOff>135252</xdr:rowOff>
    </xdr:from>
    <xdr:to>
      <xdr:col>1</xdr:col>
      <xdr:colOff>1325880</xdr:colOff>
      <xdr:row>13</xdr:row>
      <xdr:rowOff>158112</xdr:rowOff>
    </xdr:to>
    <xdr:sp macro="" textlink="Pivots!J5">
      <xdr:nvSpPr>
        <xdr:cNvPr id="9" name="TextBox 8">
          <a:extLst>
            <a:ext uri="{FF2B5EF4-FFF2-40B4-BE49-F238E27FC236}">
              <a16:creationId xmlns:a16="http://schemas.microsoft.com/office/drawing/2014/main" id="{A78B081E-9973-41B4-ABD1-D2ABD0AAC57C}"/>
            </a:ext>
          </a:extLst>
        </xdr:cNvPr>
        <xdr:cNvSpPr txBox="1"/>
      </xdr:nvSpPr>
      <xdr:spPr>
        <a:xfrm>
          <a:off x="30480" y="2146932"/>
          <a:ext cx="1524000" cy="38862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ED5781D-504C-4B18-A5DF-EF837D41F94C}" type="TxLink">
            <a:rPr lang="en-US" sz="18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Aptos Narrow"/>
              <a:ea typeface="+mn-ea"/>
              <a:cs typeface="+mn-cs"/>
            </a:rPr>
            <a:pPr marL="0" indent="0"/>
            <a:t>4.0</a:t>
          </a:fld>
          <a:endParaRPr lang="en-US" sz="18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0</xdr:col>
      <xdr:colOff>0</xdr:colOff>
      <xdr:row>2</xdr:row>
      <xdr:rowOff>91440</xdr:rowOff>
    </xdr:from>
    <xdr:to>
      <xdr:col>2</xdr:col>
      <xdr:colOff>0</xdr:colOff>
      <xdr:row>5</xdr:row>
      <xdr:rowOff>0</xdr:rowOff>
    </xdr:to>
    <xdr:sp macro="" textlink="Pivots!G4">
      <xdr:nvSpPr>
        <xdr:cNvPr id="10" name="TextBox 9">
          <a:extLst>
            <a:ext uri="{FF2B5EF4-FFF2-40B4-BE49-F238E27FC236}">
              <a16:creationId xmlns:a16="http://schemas.microsoft.com/office/drawing/2014/main" id="{BE4C59E3-28E6-9B2E-6BD3-BF3FF94F68AA}"/>
            </a:ext>
          </a:extLst>
        </xdr:cNvPr>
        <xdr:cNvSpPr txBox="1"/>
      </xdr:nvSpPr>
      <xdr:spPr>
        <a:xfrm>
          <a:off x="0" y="457200"/>
          <a:ext cx="1752600" cy="45720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C3D41F-C843-4269-A6F6-6217D942B2D1}" type="TxLink">
            <a:rPr lang="en-US" sz="12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Aptos Narrow"/>
            </a:rPr>
            <a:pPr/>
            <a:t>🛒Orders</a:t>
          </a:fld>
          <a:endParaRPr lang="en-US" sz="1200" b="1">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endParaRPr>
        </a:p>
      </xdr:txBody>
    </xdr:sp>
    <xdr:clientData/>
  </xdr:twoCellAnchor>
  <xdr:twoCellAnchor>
    <xdr:from>
      <xdr:col>0</xdr:col>
      <xdr:colOff>0</xdr:colOff>
      <xdr:row>5</xdr:row>
      <xdr:rowOff>3375</xdr:rowOff>
    </xdr:from>
    <xdr:to>
      <xdr:col>2</xdr:col>
      <xdr:colOff>0</xdr:colOff>
      <xdr:row>7</xdr:row>
      <xdr:rowOff>94815</xdr:rowOff>
    </xdr:to>
    <xdr:sp macro="" textlink="Pivots!H4">
      <xdr:nvSpPr>
        <xdr:cNvPr id="11" name="TextBox 10">
          <a:extLst>
            <a:ext uri="{FF2B5EF4-FFF2-40B4-BE49-F238E27FC236}">
              <a16:creationId xmlns:a16="http://schemas.microsoft.com/office/drawing/2014/main" id="{D776144C-D32A-49D4-8A3A-54345F9CCB7F}"/>
            </a:ext>
          </a:extLst>
        </xdr:cNvPr>
        <xdr:cNvSpPr txBox="1"/>
      </xdr:nvSpPr>
      <xdr:spPr>
        <a:xfrm>
          <a:off x="0" y="942827"/>
          <a:ext cx="1753644" cy="467221"/>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01E14CB-F87D-4C58-B4B3-F8B2E4948017}" type="TxLink">
            <a:rPr lang="en-US" sz="12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Aptos Narrow"/>
              <a:ea typeface="+mn-ea"/>
              <a:cs typeface="+mn-cs"/>
            </a:rPr>
            <a:pPr marL="0" indent="0"/>
            <a:t>👕Quantity</a:t>
          </a:fld>
          <a:endParaRPr lang="en-US" sz="12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0</xdr:col>
      <xdr:colOff>0</xdr:colOff>
      <xdr:row>7</xdr:row>
      <xdr:rowOff>87751</xdr:rowOff>
    </xdr:from>
    <xdr:to>
      <xdr:col>1</xdr:col>
      <xdr:colOff>1455420</xdr:colOff>
      <xdr:row>9</xdr:row>
      <xdr:rowOff>95371</xdr:rowOff>
    </xdr:to>
    <xdr:sp macro="" textlink="Pivots!I4">
      <xdr:nvSpPr>
        <xdr:cNvPr id="12" name="TextBox 11">
          <a:extLst>
            <a:ext uri="{FF2B5EF4-FFF2-40B4-BE49-F238E27FC236}">
              <a16:creationId xmlns:a16="http://schemas.microsoft.com/office/drawing/2014/main" id="{6F4B3177-4CB2-4CD7-869F-1EE5B652FF80}"/>
            </a:ext>
          </a:extLst>
        </xdr:cNvPr>
        <xdr:cNvSpPr txBox="1"/>
      </xdr:nvSpPr>
      <xdr:spPr>
        <a:xfrm>
          <a:off x="0" y="1402984"/>
          <a:ext cx="1685064" cy="383401"/>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D1E05A2-A607-4072-B45B-41A72A7EA6E5}" type="TxLink">
            <a:rPr lang="en-US" sz="12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Aptos Narrow"/>
              <a:ea typeface="+mn-ea"/>
              <a:cs typeface="+mn-cs"/>
            </a:rPr>
            <a:pPr marL="0" indent="0"/>
            <a:t>💰Amount</a:t>
          </a:fld>
          <a:endParaRPr lang="en-US" sz="12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0</xdr:col>
      <xdr:colOff>0</xdr:colOff>
      <xdr:row>10</xdr:row>
      <xdr:rowOff>72791</xdr:rowOff>
    </xdr:from>
    <xdr:to>
      <xdr:col>2</xdr:col>
      <xdr:colOff>0</xdr:colOff>
      <xdr:row>12</xdr:row>
      <xdr:rowOff>164231</xdr:rowOff>
    </xdr:to>
    <xdr:sp macro="" textlink="Pivots!J4">
      <xdr:nvSpPr>
        <xdr:cNvPr id="13" name="TextBox 12">
          <a:extLst>
            <a:ext uri="{FF2B5EF4-FFF2-40B4-BE49-F238E27FC236}">
              <a16:creationId xmlns:a16="http://schemas.microsoft.com/office/drawing/2014/main" id="{8AE78131-5852-4356-867B-C14C2DD5C3DD}"/>
            </a:ext>
          </a:extLst>
        </xdr:cNvPr>
        <xdr:cNvSpPr txBox="1"/>
      </xdr:nvSpPr>
      <xdr:spPr>
        <a:xfrm>
          <a:off x="0" y="1951695"/>
          <a:ext cx="1753644" cy="467221"/>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CA57379-D43F-4360-B62B-0083A1ACDA80}" type="TxLink">
            <a:rPr lang="en-US" sz="12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Aptos Narrow"/>
              <a:ea typeface="+mn-ea"/>
              <a:cs typeface="+mn-cs"/>
            </a:rPr>
            <a:pPr marL="0" indent="0"/>
            <a:t>⭐Avg_Rating</a:t>
          </a:fld>
          <a:endParaRPr lang="en-US" sz="12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0</xdr:col>
      <xdr:colOff>0</xdr:colOff>
      <xdr:row>13</xdr:row>
      <xdr:rowOff>52785</xdr:rowOff>
    </xdr:from>
    <xdr:to>
      <xdr:col>2</xdr:col>
      <xdr:colOff>0</xdr:colOff>
      <xdr:row>15</xdr:row>
      <xdr:rowOff>144225</xdr:rowOff>
    </xdr:to>
    <xdr:sp macro="" textlink="Pivots!K4">
      <xdr:nvSpPr>
        <xdr:cNvPr id="14" name="TextBox 13">
          <a:extLst>
            <a:ext uri="{FF2B5EF4-FFF2-40B4-BE49-F238E27FC236}">
              <a16:creationId xmlns:a16="http://schemas.microsoft.com/office/drawing/2014/main" id="{823AC52F-19EE-4148-9F90-FF54424A1EA9}"/>
            </a:ext>
          </a:extLst>
        </xdr:cNvPr>
        <xdr:cNvSpPr txBox="1"/>
      </xdr:nvSpPr>
      <xdr:spPr>
        <a:xfrm>
          <a:off x="0" y="2495360"/>
          <a:ext cx="1753644" cy="467221"/>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E885855-BDA0-4852-AA19-A51E24A7ABBD}" type="TxLink">
            <a:rPr lang="en-US" sz="12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Aptos Narrow"/>
              <a:ea typeface="+mn-ea"/>
              <a:cs typeface="+mn-cs"/>
            </a:rPr>
            <a:pPr marL="0" indent="0"/>
            <a:t>🗓️Days to Deliver</a:t>
          </a:fld>
          <a:endParaRPr lang="en-US" sz="12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0</xdr:col>
      <xdr:colOff>45720</xdr:colOff>
      <xdr:row>14</xdr:row>
      <xdr:rowOff>137160</xdr:rowOff>
    </xdr:from>
    <xdr:to>
      <xdr:col>1</xdr:col>
      <xdr:colOff>1341120</xdr:colOff>
      <xdr:row>16</xdr:row>
      <xdr:rowOff>160020</xdr:rowOff>
    </xdr:to>
    <xdr:sp macro="" textlink="Pivots!K5">
      <xdr:nvSpPr>
        <xdr:cNvPr id="15" name="TextBox 14">
          <a:extLst>
            <a:ext uri="{FF2B5EF4-FFF2-40B4-BE49-F238E27FC236}">
              <a16:creationId xmlns:a16="http://schemas.microsoft.com/office/drawing/2014/main" id="{377426EB-65BE-4AEB-B322-2F496DB0EEDC}"/>
            </a:ext>
          </a:extLst>
        </xdr:cNvPr>
        <xdr:cNvSpPr txBox="1"/>
      </xdr:nvSpPr>
      <xdr:spPr>
        <a:xfrm>
          <a:off x="45720" y="2697480"/>
          <a:ext cx="1524000" cy="38862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709ED15-09D5-4116-844C-5B7BEB80AFAD}" type="TxLink">
            <a:rPr lang="en-US" sz="18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Aptos Narrow"/>
              <a:ea typeface="+mn-ea"/>
              <a:cs typeface="+mn-cs"/>
            </a:rPr>
            <a:pPr marL="0" indent="0"/>
            <a:t>2.3</a:t>
          </a:fld>
          <a:endParaRPr lang="en-US" sz="18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3</xdr:col>
      <xdr:colOff>80010</xdr:colOff>
      <xdr:row>0</xdr:row>
      <xdr:rowOff>76199</xdr:rowOff>
    </xdr:from>
    <xdr:to>
      <xdr:col>9</xdr:col>
      <xdr:colOff>577272</xdr:colOff>
      <xdr:row>15</xdr:row>
      <xdr:rowOff>80817</xdr:rowOff>
    </xdr:to>
    <xdr:graphicFrame macro="">
      <xdr:nvGraphicFramePr>
        <xdr:cNvPr id="16" name="Chart 15">
          <a:extLst>
            <a:ext uri="{FF2B5EF4-FFF2-40B4-BE49-F238E27FC236}">
              <a16:creationId xmlns:a16="http://schemas.microsoft.com/office/drawing/2014/main" id="{123C672A-9A54-45E2-ACB7-22FE4A711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57728</xdr:colOff>
      <xdr:row>0</xdr:row>
      <xdr:rowOff>131445</xdr:rowOff>
    </xdr:from>
    <xdr:to>
      <xdr:col>17</xdr:col>
      <xdr:colOff>80819</xdr:colOff>
      <xdr:row>15</xdr:row>
      <xdr:rowOff>34636</xdr:rowOff>
    </xdr:to>
    <xdr:sp macro="" textlink="">
      <xdr:nvSpPr>
        <xdr:cNvPr id="24" name="Rectangle 23">
          <a:extLst>
            <a:ext uri="{FF2B5EF4-FFF2-40B4-BE49-F238E27FC236}">
              <a16:creationId xmlns:a16="http://schemas.microsoft.com/office/drawing/2014/main" id="{0B7AC406-0E73-E3B5-9AD0-7CE6490FC75B}"/>
            </a:ext>
          </a:extLst>
        </xdr:cNvPr>
        <xdr:cNvSpPr/>
      </xdr:nvSpPr>
      <xdr:spPr>
        <a:xfrm>
          <a:off x="5945910" y="131445"/>
          <a:ext cx="4306454" cy="2674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300182</xdr:colOff>
      <xdr:row>1</xdr:row>
      <xdr:rowOff>92364</xdr:rowOff>
    </xdr:from>
    <xdr:to>
      <xdr:col>16</xdr:col>
      <xdr:colOff>415638</xdr:colOff>
      <xdr:row>14</xdr:row>
      <xdr:rowOff>11545</xdr:rowOff>
    </xdr:to>
    <xdr:pic>
      <xdr:nvPicPr>
        <xdr:cNvPr id="22" name="Picture 21">
          <a:extLst>
            <a:ext uri="{FF2B5EF4-FFF2-40B4-BE49-F238E27FC236}">
              <a16:creationId xmlns:a16="http://schemas.microsoft.com/office/drawing/2014/main" id="{714539B9-0C52-7969-17A1-263822BC029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188364" y="277091"/>
          <a:ext cx="3786910" cy="23206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300182</xdr:colOff>
      <xdr:row>0</xdr:row>
      <xdr:rowOff>53339</xdr:rowOff>
    </xdr:from>
    <xdr:to>
      <xdr:col>24</xdr:col>
      <xdr:colOff>438727</xdr:colOff>
      <xdr:row>12</xdr:row>
      <xdr:rowOff>46182</xdr:rowOff>
    </xdr:to>
    <xdr:graphicFrame macro="">
      <xdr:nvGraphicFramePr>
        <xdr:cNvPr id="25" name="Chart 24">
          <a:extLst>
            <a:ext uri="{FF2B5EF4-FFF2-40B4-BE49-F238E27FC236}">
              <a16:creationId xmlns:a16="http://schemas.microsoft.com/office/drawing/2014/main" id="{FA7E26FD-29BE-47B9-96D1-EDB85C5FD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69273</xdr:colOff>
      <xdr:row>15</xdr:row>
      <xdr:rowOff>175053</xdr:rowOff>
    </xdr:from>
    <xdr:to>
      <xdr:col>10</xdr:col>
      <xdr:colOff>63342</xdr:colOff>
      <xdr:row>38</xdr:row>
      <xdr:rowOff>94012</xdr:rowOff>
    </xdr:to>
    <xdr:graphicFrame macro="">
      <xdr:nvGraphicFramePr>
        <xdr:cNvPr id="26" name="Chart 25">
          <a:extLst>
            <a:ext uri="{FF2B5EF4-FFF2-40B4-BE49-F238E27FC236}">
              <a16:creationId xmlns:a16="http://schemas.microsoft.com/office/drawing/2014/main" id="{C826D0E2-C1E8-4613-8217-9D2A71A28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23091</xdr:colOff>
      <xdr:row>30</xdr:row>
      <xdr:rowOff>105008</xdr:rowOff>
    </xdr:from>
    <xdr:to>
      <xdr:col>8</xdr:col>
      <xdr:colOff>23089</xdr:colOff>
      <xdr:row>37</xdr:row>
      <xdr:rowOff>165967</xdr:rowOff>
    </xdr:to>
    <xdr:graphicFrame macro="">
      <xdr:nvGraphicFramePr>
        <xdr:cNvPr id="27" name="Chart 26">
          <a:extLst>
            <a:ext uri="{FF2B5EF4-FFF2-40B4-BE49-F238E27FC236}">
              <a16:creationId xmlns:a16="http://schemas.microsoft.com/office/drawing/2014/main" id="{24F11E65-3360-41E4-B097-AD6BE45BB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126291</xdr:colOff>
      <xdr:row>15</xdr:row>
      <xdr:rowOff>162305</xdr:rowOff>
    </xdr:from>
    <xdr:to>
      <xdr:col>17</xdr:col>
      <xdr:colOff>88191</xdr:colOff>
      <xdr:row>38</xdr:row>
      <xdr:rowOff>80819</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61A2A95B-0700-4912-B223-7E30626006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014473" y="2933214"/>
              <a:ext cx="4245263" cy="416724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54724</xdr:colOff>
      <xdr:row>21</xdr:row>
      <xdr:rowOff>104930</xdr:rowOff>
    </xdr:from>
    <xdr:to>
      <xdr:col>16</xdr:col>
      <xdr:colOff>313804</xdr:colOff>
      <xdr:row>29</xdr:row>
      <xdr:rowOff>127791</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F09763AA-E321-461B-9DCD-63E23BB33B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002451" y="3984203"/>
              <a:ext cx="870989" cy="150067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298283</xdr:colOff>
      <xdr:row>13</xdr:row>
      <xdr:rowOff>38579</xdr:rowOff>
    </xdr:from>
    <xdr:to>
      <xdr:col>24</xdr:col>
      <xdr:colOff>484909</xdr:colOff>
      <xdr:row>24</xdr:row>
      <xdr:rowOff>42389</xdr:rowOff>
    </xdr:to>
    <xdr:graphicFrame macro="">
      <xdr:nvGraphicFramePr>
        <xdr:cNvPr id="18" name="Chart 17">
          <a:extLst>
            <a:ext uri="{FF2B5EF4-FFF2-40B4-BE49-F238E27FC236}">
              <a16:creationId xmlns:a16="http://schemas.microsoft.com/office/drawing/2014/main" id="{54DF0A47-8FBB-419C-AFD7-8E3077AB5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311728</xdr:colOff>
      <xdr:row>24</xdr:row>
      <xdr:rowOff>173900</xdr:rowOff>
    </xdr:from>
    <xdr:to>
      <xdr:col>24</xdr:col>
      <xdr:colOff>542636</xdr:colOff>
      <xdr:row>38</xdr:row>
      <xdr:rowOff>23091</xdr:rowOff>
    </xdr:to>
    <xdr:graphicFrame macro="">
      <xdr:nvGraphicFramePr>
        <xdr:cNvPr id="19" name="Chart 18">
          <a:extLst>
            <a:ext uri="{FF2B5EF4-FFF2-40B4-BE49-F238E27FC236}">
              <a16:creationId xmlns:a16="http://schemas.microsoft.com/office/drawing/2014/main" id="{D6520644-3B67-4386-A30C-FC530165D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68103</xdr:colOff>
      <xdr:row>17</xdr:row>
      <xdr:rowOff>142554</xdr:rowOff>
    </xdr:from>
    <xdr:to>
      <xdr:col>1</xdr:col>
      <xdr:colOff>1467522</xdr:colOff>
      <xdr:row>28</xdr:row>
      <xdr:rowOff>38265</xdr:rowOff>
    </xdr:to>
    <mc:AlternateContent xmlns:mc="http://schemas.openxmlformats.org/markup-compatibility/2006">
      <mc:Choice xmlns:a14="http://schemas.microsoft.com/office/drawing/2010/main" Requires="a14">
        <xdr:graphicFrame macro="">
          <xdr:nvGraphicFramePr>
            <xdr:cNvPr id="23" name="Order Mode">
              <a:extLst>
                <a:ext uri="{FF2B5EF4-FFF2-40B4-BE49-F238E27FC236}">
                  <a16:creationId xmlns:a16="http://schemas.microsoft.com/office/drawing/2014/main" id="{1BA20564-C30D-46ED-8DE5-DE6CEF8088B2}"/>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68103" y="3282918"/>
              <a:ext cx="1630328" cy="19277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92959</xdr:colOff>
      <xdr:row>29</xdr:row>
      <xdr:rowOff>35627</xdr:rowOff>
    </xdr:from>
    <xdr:to>
      <xdr:col>1</xdr:col>
      <xdr:colOff>1508101</xdr:colOff>
      <xdr:row>38</xdr:row>
      <xdr:rowOff>50956</xdr:rowOff>
    </xdr:to>
    <mc:AlternateContent xmlns:mc="http://schemas.openxmlformats.org/markup-compatibility/2006">
      <mc:Choice xmlns:a14="http://schemas.microsoft.com/office/drawing/2010/main" Requires="a14">
        <xdr:graphicFrame macro="">
          <xdr:nvGraphicFramePr>
            <xdr:cNvPr id="28" name="Gender Value">
              <a:extLst>
                <a:ext uri="{FF2B5EF4-FFF2-40B4-BE49-F238E27FC236}">
                  <a16:creationId xmlns:a16="http://schemas.microsoft.com/office/drawing/2014/main" id="{433F33E1-D5DE-4B69-BEE8-1DB9442AA8CB}"/>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92959" y="5392718"/>
              <a:ext cx="1646051" cy="1677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51" refreshedDate="45977.449156828705" createdVersion="8" refreshedVersion="8" minRefreshableVersion="3" recordCount="2400" xr:uid="{AEE9201F-5AF8-4C5E-A2A6-B8DABD835208}">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5108865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1B64CF-6254-4971-BEDE-6DF174CA8BD6}" name="chart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7">
  <location ref="A74:D132" firstHeaderRow="0" firstDataRow="1" firstDataCol="2"/>
  <pivotFields count="18">
    <pivotField compact="0" outline="0" showAll="0" defaultSubtotal="0">
      <items count="2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s>
      <extLst>
        <ext xmlns:x14="http://schemas.microsoft.com/office/spreadsheetml/2009/9/main" uri="{2946ED86-A175-432a-8AC1-64E0C546D7DE}">
          <x14:pivotField fillDownLabels="1"/>
        </ext>
      </extLst>
    </pivotField>
    <pivotField compact="0" outline="0" showAll="0" sortType="descending" defaultSubtotal="0">
      <items count="20">
        <item x="14"/>
        <item x="10"/>
        <item x="12"/>
        <item x="15"/>
        <item x="4"/>
        <item x="7"/>
        <item x="6"/>
        <item x="19"/>
        <item x="18"/>
        <item x="11"/>
        <item x="17"/>
        <item x="5"/>
        <item x="0"/>
        <item x="2"/>
        <item x="9"/>
        <item x="16"/>
        <item x="1"/>
        <item x="13"/>
        <item x="8"/>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 To 10" x="5"/>
        <item n="More Than 10"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chartFormats count="2">
    <chartFormat chart="34" format="1"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7EA3AE-3A14-40D8-A2BD-FC917D2E54A6}" name="chart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7:F59" firstHeaderRow="1" firstDataRow="2"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25" format="8" series="1">
      <pivotArea type="data" outline="0" fieldPosition="0">
        <references count="2">
          <reference field="4294967294" count="1" selected="0">
            <x v="0"/>
          </reference>
          <reference field="14" count="1" selected="0">
            <x v="0"/>
          </reference>
        </references>
      </pivotArea>
    </chartFormat>
    <chartFormat chart="25" format="9" series="1">
      <pivotArea type="data" outline="0" fieldPosition="0">
        <references count="2">
          <reference field="4294967294" count="1" selected="0">
            <x v="0"/>
          </reference>
          <reference field="14" count="1" selected="0">
            <x v="1"/>
          </reference>
        </references>
      </pivotArea>
    </chartFormat>
    <chartFormat chart="25" format="10" series="1">
      <pivotArea type="data" outline="0" fieldPosition="0">
        <references count="2">
          <reference field="4294967294" count="1" selected="0">
            <x v="0"/>
          </reference>
          <reference field="14" count="1" selected="0">
            <x v="2"/>
          </reference>
        </references>
      </pivotArea>
    </chartFormat>
    <chartFormat chart="25"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22B622-EFB3-4329-BE25-7918C61A0B59}" name="Chart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7:B35"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1304AA-EF26-4FBA-83F0-E9891AEEFD0F}" name="final 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156:G161"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n="6 To 10" x="5"/>
        <item n="More Than 10"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7">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2">
          <reference field="4294967294" count="1" selected="0">
            <x v="0"/>
          </reference>
          <reference field="9" count="1" selected="0">
            <x v="0"/>
          </reference>
        </references>
      </pivotArea>
    </chartFormat>
    <chartFormat chart="30" format="1" series="1">
      <pivotArea type="data" outline="0" fieldPosition="0">
        <references count="2">
          <reference field="4294967294" count="1" selected="0">
            <x v="0"/>
          </reference>
          <reference field="9" count="1" selected="0">
            <x v="1"/>
          </reference>
        </references>
      </pivotArea>
    </chartFormat>
    <chartFormat chart="30" format="2" series="1">
      <pivotArea type="data" outline="0" fieldPosition="0">
        <references count="2">
          <reference field="4294967294" count="1" selected="0">
            <x v="0"/>
          </reference>
          <reference field="9" count="1" selected="0">
            <x v="2"/>
          </reference>
        </references>
      </pivotArea>
    </chartFormat>
    <chartFormat chart="30" format="3" series="1">
      <pivotArea type="data" outline="0" fieldPosition="0">
        <references count="2">
          <reference field="4294967294" count="1" selected="0">
            <x v="0"/>
          </reference>
          <reference field="9" count="1" selected="0">
            <x v="3"/>
          </reference>
        </references>
      </pivotArea>
    </chartFormat>
    <chartFormat chart="30" format="4" series="1">
      <pivotArea type="data" outline="0" fieldPosition="0">
        <references count="2">
          <reference field="4294967294" count="1" selected="0">
            <x v="0"/>
          </reference>
          <reference field="9" count="1" selected="0">
            <x v="4"/>
          </reference>
        </references>
      </pivotArea>
    </chartFormat>
    <chartFormat chart="32" format="5" series="1">
      <pivotArea type="data" outline="0" fieldPosition="0">
        <references count="2">
          <reference field="4294967294" count="1" selected="0">
            <x v="0"/>
          </reference>
          <reference field="9" count="1" selected="0">
            <x v="0"/>
          </reference>
        </references>
      </pivotArea>
    </chartFormat>
    <chartFormat chart="32" format="6" series="1">
      <pivotArea type="data" outline="0" fieldPosition="0">
        <references count="2">
          <reference field="4294967294" count="1" selected="0">
            <x v="0"/>
          </reference>
          <reference field="9" count="1" selected="0">
            <x v="1"/>
          </reference>
        </references>
      </pivotArea>
    </chartFormat>
    <chartFormat chart="32" format="7" series="1">
      <pivotArea type="data" outline="0" fieldPosition="0">
        <references count="2">
          <reference field="4294967294" count="1" selected="0">
            <x v="0"/>
          </reference>
          <reference field="9" count="1" selected="0">
            <x v="2"/>
          </reference>
        </references>
      </pivotArea>
    </chartFormat>
    <chartFormat chart="32" format="8" series="1">
      <pivotArea type="data" outline="0" fieldPosition="0">
        <references count="2">
          <reference field="4294967294" count="1" selected="0">
            <x v="0"/>
          </reference>
          <reference field="9" count="1" selected="0">
            <x v="3"/>
          </reference>
        </references>
      </pivotArea>
    </chartFormat>
    <chartFormat chart="32" format="9" series="1">
      <pivotArea type="data" outline="0" fieldPosition="0">
        <references count="2">
          <reference field="4294967294" count="1" selected="0">
            <x v="0"/>
          </reference>
          <reference field="9" count="1" selected="0">
            <x v="4"/>
          </reference>
        </references>
      </pivotArea>
    </chartFormat>
    <chartFormat chart="33" format="10" series="1">
      <pivotArea type="data" outline="0" fieldPosition="0">
        <references count="2">
          <reference field="4294967294" count="1" selected="0">
            <x v="0"/>
          </reference>
          <reference field="9" count="1" selected="0">
            <x v="0"/>
          </reference>
        </references>
      </pivotArea>
    </chartFormat>
    <chartFormat chart="33" format="11" series="1">
      <pivotArea type="data" outline="0" fieldPosition="0">
        <references count="2">
          <reference field="4294967294" count="1" selected="0">
            <x v="0"/>
          </reference>
          <reference field="9" count="1" selected="0">
            <x v="1"/>
          </reference>
        </references>
      </pivotArea>
    </chartFormat>
    <chartFormat chart="33" format="12" series="1">
      <pivotArea type="data" outline="0" fieldPosition="0">
        <references count="2">
          <reference field="4294967294" count="1" selected="0">
            <x v="0"/>
          </reference>
          <reference field="9" count="1" selected="0">
            <x v="2"/>
          </reference>
        </references>
      </pivotArea>
    </chartFormat>
    <chartFormat chart="33" format="13" series="1">
      <pivotArea type="data" outline="0" fieldPosition="0">
        <references count="2">
          <reference field="4294967294" count="1" selected="0">
            <x v="0"/>
          </reference>
          <reference field="9" count="1" selected="0">
            <x v="3"/>
          </reference>
        </references>
      </pivotArea>
    </chartFormat>
    <chartFormat chart="33"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10CBE3-CAFA-4AB7-B77E-B74BB53AA3AD}" name="Chart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9:C23"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32760C-58E0-43CC-9084-188BE8302F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37:B153"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BFA8D5-497B-4710-89B3-8424B933852E}"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dataField name="Average of Days to Deliver" fld="12" subtotal="average"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CF9C85-D9F0-467E-9364-49C84C40D8CF}" name="Chart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B65:C70" firstHeaderRow="1"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4">
    <chartFormat chart="25" format="8" series="1">
      <pivotArea type="data" outline="0" fieldPosition="0">
        <references count="2">
          <reference field="4294967294" count="1" selected="0">
            <x v="0"/>
          </reference>
          <reference field="14" count="1" selected="0">
            <x v="0"/>
          </reference>
        </references>
      </pivotArea>
    </chartFormat>
    <chartFormat chart="25" format="9" series="1">
      <pivotArea type="data" outline="0" fieldPosition="0">
        <references count="2">
          <reference field="4294967294" count="1" selected="0">
            <x v="0"/>
          </reference>
          <reference field="14" count="1" selected="0">
            <x v="1"/>
          </reference>
        </references>
      </pivotArea>
    </chartFormat>
    <chartFormat chart="25" format="10" series="1">
      <pivotArea type="data" outline="0" fieldPosition="0">
        <references count="2">
          <reference field="4294967294" count="1" selected="0">
            <x v="0"/>
          </reference>
          <reference field="14" count="1" selected="0">
            <x v="2"/>
          </reference>
        </references>
      </pivotArea>
    </chartFormat>
    <chartFormat chart="25" format="11" series="1">
      <pivotArea type="data" outline="0" fieldPosition="0">
        <references count="2">
          <reference field="4294967294" count="1" selected="0">
            <x v="0"/>
          </reference>
          <reference field="14" count="1" selected="0">
            <x v="3"/>
          </reference>
        </references>
      </pivotArea>
    </chartFormat>
    <chartFormat chart="34" format="1" series="1">
      <pivotArea type="data" outline="0" fieldPosition="0">
        <references count="1">
          <reference field="4294967294" count="1" selected="0">
            <x v="0"/>
          </reference>
        </references>
      </pivotArea>
    </chartFormat>
    <chartFormat chart="34" format="2">
      <pivotArea type="data" outline="0" fieldPosition="0">
        <references count="2">
          <reference field="4294967294" count="1" selected="0">
            <x v="0"/>
          </reference>
          <reference field="14" count="1" selected="0">
            <x v="0"/>
          </reference>
        </references>
      </pivotArea>
    </chartFormat>
    <chartFormat chart="34" format="3">
      <pivotArea type="data" outline="0" fieldPosition="0">
        <references count="2">
          <reference field="4294967294" count="1" selected="0">
            <x v="0"/>
          </reference>
          <reference field="14" count="1" selected="0">
            <x v="1"/>
          </reference>
        </references>
      </pivotArea>
    </chartFormat>
    <chartFormat chart="34" format="4">
      <pivotArea type="data" outline="0" fieldPosition="0">
        <references count="2">
          <reference field="4294967294" count="1" selected="0">
            <x v="0"/>
          </reference>
          <reference field="14" count="1" selected="0">
            <x v="2"/>
          </reference>
        </references>
      </pivotArea>
    </chartFormat>
    <chartFormat chart="34" format="5">
      <pivotArea type="data" outline="0" fieldPosition="0">
        <references count="2">
          <reference field="4294967294" count="1" selected="0">
            <x v="0"/>
          </reference>
          <reference field="14" count="1" selected="0">
            <x v="3"/>
          </reference>
        </references>
      </pivotArea>
    </chartFormat>
    <chartFormat chart="35" format="6" series="1">
      <pivotArea type="data" outline="0" fieldPosition="0">
        <references count="1">
          <reference field="4294967294" count="1" selected="0">
            <x v="0"/>
          </reference>
        </references>
      </pivotArea>
    </chartFormat>
    <chartFormat chart="35" format="7">
      <pivotArea type="data" outline="0" fieldPosition="0">
        <references count="2">
          <reference field="4294967294" count="1" selected="0">
            <x v="0"/>
          </reference>
          <reference field="14" count="1" selected="0">
            <x v="0"/>
          </reference>
        </references>
      </pivotArea>
    </chartFormat>
    <chartFormat chart="35" format="8">
      <pivotArea type="data" outline="0" fieldPosition="0">
        <references count="2">
          <reference field="4294967294" count="1" selected="0">
            <x v="0"/>
          </reference>
          <reference field="14" count="1" selected="0">
            <x v="1"/>
          </reference>
        </references>
      </pivotArea>
    </chartFormat>
    <chartFormat chart="35" format="9">
      <pivotArea type="data" outline="0" fieldPosition="0">
        <references count="2">
          <reference field="4294967294" count="1" selected="0">
            <x v="0"/>
          </reference>
          <reference field="14" count="1" selected="0">
            <x v="2"/>
          </reference>
        </references>
      </pivotArea>
    </chartFormat>
    <chartFormat chart="35"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0308B9-164A-44F8-86CA-922A3E8DAA6A}" name="Chart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8BE022B8-33A6-436D-BE87-787072BAFBBF}" sourceName="Order Mode">
  <pivotTables>
    <pivotTable tabId="5" name="final Chart"/>
    <pivotTable tabId="5" name="Chart1"/>
    <pivotTable tabId="5" name="Chart4"/>
    <pivotTable tabId="5" name="chart5"/>
    <pivotTable tabId="5" name="Chart6"/>
    <pivotTable tabId="5" name="chart7"/>
    <pivotTable tabId="9" name="Chart2"/>
    <pivotTable tabId="5" name="KPI"/>
    <pivotTable tabId="5" name="PivotTable2"/>
  </pivotTables>
  <data>
    <tabular pivotCacheId="1510886569">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54BCD6C7-006A-4380-A054-020240CC46AF}" sourceName="Gender Value">
  <pivotTables>
    <pivotTable tabId="5" name="final Chart"/>
    <pivotTable tabId="5" name="Chart1"/>
    <pivotTable tabId="5" name="Chart4"/>
    <pivotTable tabId="5" name="chart5"/>
    <pivotTable tabId="5" name="chart7"/>
    <pivotTable tabId="5" name="PivotTable2"/>
    <pivotTable tabId="5" name="KPI"/>
  </pivotTables>
  <data>
    <tabular pivotCacheId="151088656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B29DD775-9D1A-4074-9828-E36BB926DD16}" cache="Slicer_Order_Mode" caption="Order Mode" rowHeight="247650"/>
  <slicer name="Gender Value" xr10:uid="{CCA430F1-A94E-45A3-83ED-95591828B704}"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815EB-F875-4E9B-90EA-3744426ECC07}">
  <sheetPr codeName="Sheet1"/>
  <dimension ref="A3:N161"/>
  <sheetViews>
    <sheetView topLeftCell="A4" workbookViewId="0">
      <selection activeCell="A73" sqref="A73"/>
    </sheetView>
  </sheetViews>
  <sheetFormatPr defaultRowHeight="14.4" x14ac:dyDescent="0.3"/>
  <cols>
    <col min="1" max="1" width="12.44140625" bestFit="1" customWidth="1"/>
    <col min="2" max="2" width="12.21875" bestFit="1" customWidth="1"/>
    <col min="3" max="3" width="13.5546875" bestFit="1" customWidth="1"/>
    <col min="4" max="4" width="16.6640625" bestFit="1" customWidth="1"/>
    <col min="5" max="5" width="22.33203125" bestFit="1" customWidth="1"/>
    <col min="6" max="7" width="10.5546875" bestFit="1" customWidth="1"/>
    <col min="8" max="8" width="19.6640625" bestFit="1" customWidth="1"/>
    <col min="9" max="9" width="14.21875" bestFit="1" customWidth="1"/>
    <col min="10" max="10" width="12.33203125" bestFit="1" customWidth="1"/>
    <col min="11" max="11" width="15.5546875" bestFit="1" customWidth="1"/>
    <col min="12" max="12" width="9.109375" bestFit="1" customWidth="1"/>
    <col min="13" max="13" width="19.6640625" bestFit="1" customWidth="1"/>
    <col min="14" max="14" width="13.5546875" bestFit="1" customWidth="1"/>
  </cols>
  <sheetData>
    <row r="3" spans="1:11" x14ac:dyDescent="0.3">
      <c r="A3" t="s">
        <v>2554</v>
      </c>
      <c r="B3" t="s">
        <v>2555</v>
      </c>
      <c r="C3" t="s">
        <v>2556</v>
      </c>
      <c r="D3" t="s">
        <v>2557</v>
      </c>
      <c r="E3" t="s">
        <v>2558</v>
      </c>
      <c r="G3" t="s">
        <v>2559</v>
      </c>
    </row>
    <row r="4" spans="1:11" x14ac:dyDescent="0.3">
      <c r="A4" s="19">
        <v>2400</v>
      </c>
      <c r="B4" s="19">
        <v>11997</v>
      </c>
      <c r="C4" s="19">
        <v>649019.80000000144</v>
      </c>
      <c r="D4" s="19">
        <v>3.9620833333333332</v>
      </c>
      <c r="E4" s="19">
        <v>2.3424999999999998</v>
      </c>
      <c r="G4" t="s">
        <v>2560</v>
      </c>
      <c r="H4" t="s">
        <v>2561</v>
      </c>
      <c r="I4" t="s">
        <v>2562</v>
      </c>
      <c r="J4" t="s">
        <v>2563</v>
      </c>
      <c r="K4" t="s">
        <v>2564</v>
      </c>
    </row>
    <row r="5" spans="1:11" x14ac:dyDescent="0.3">
      <c r="G5" t="str">
        <f>TEXT(A4,"#,##")</f>
        <v>2,400</v>
      </c>
      <c r="H5" t="str">
        <f>TEXT(B4,"#,##")</f>
        <v>11,997</v>
      </c>
      <c r="I5" t="str">
        <f>TEXT(C4,"$#,##,.0k")</f>
        <v>$649.0k</v>
      </c>
      <c r="J5" t="str">
        <f>TEXT(D4,"0.0")</f>
        <v>4.0</v>
      </c>
      <c r="K5" t="str">
        <f>TEXT(E4,"0.0")</f>
        <v>2.3</v>
      </c>
    </row>
    <row r="9" spans="1:11" x14ac:dyDescent="0.3">
      <c r="A9" s="12" t="s">
        <v>2552</v>
      </c>
      <c r="B9" t="s">
        <v>2555</v>
      </c>
      <c r="C9" t="s">
        <v>2556</v>
      </c>
    </row>
    <row r="10" spans="1:11" x14ac:dyDescent="0.3">
      <c r="A10" s="13">
        <v>1</v>
      </c>
      <c r="B10" s="19">
        <v>546</v>
      </c>
      <c r="C10" s="19">
        <v>32413.300000000003</v>
      </c>
    </row>
    <row r="11" spans="1:11" x14ac:dyDescent="0.3">
      <c r="A11" s="13">
        <v>2</v>
      </c>
      <c r="B11" s="19">
        <v>905</v>
      </c>
      <c r="C11" s="19">
        <v>49562.999999999993</v>
      </c>
    </row>
    <row r="12" spans="1:11" x14ac:dyDescent="0.3">
      <c r="A12" s="13">
        <v>3</v>
      </c>
      <c r="B12" s="19">
        <v>796</v>
      </c>
      <c r="C12" s="19">
        <v>41700.400000000016</v>
      </c>
    </row>
    <row r="13" spans="1:11" x14ac:dyDescent="0.3">
      <c r="A13" s="13">
        <v>4</v>
      </c>
      <c r="B13" s="19">
        <v>913</v>
      </c>
      <c r="C13" s="19">
        <v>46782.599999999984</v>
      </c>
    </row>
    <row r="14" spans="1:11" x14ac:dyDescent="0.3">
      <c r="A14" s="13">
        <v>5</v>
      </c>
      <c r="B14" s="19">
        <v>844</v>
      </c>
      <c r="C14" s="19">
        <v>42676.100000000006</v>
      </c>
    </row>
    <row r="15" spans="1:11" x14ac:dyDescent="0.3">
      <c r="A15" s="13">
        <v>6</v>
      </c>
      <c r="B15" s="19">
        <v>1202</v>
      </c>
      <c r="C15" s="19">
        <v>62910.7</v>
      </c>
    </row>
    <row r="16" spans="1:11" x14ac:dyDescent="0.3">
      <c r="A16" s="13">
        <v>7</v>
      </c>
      <c r="B16" s="19">
        <v>935</v>
      </c>
      <c r="C16" s="19">
        <v>50332.200000000004</v>
      </c>
    </row>
    <row r="17" spans="1:3" x14ac:dyDescent="0.3">
      <c r="A17" s="13">
        <v>8</v>
      </c>
      <c r="B17" s="19">
        <v>1128</v>
      </c>
      <c r="C17" s="19">
        <v>58760.599999999977</v>
      </c>
    </row>
    <row r="18" spans="1:3" x14ac:dyDescent="0.3">
      <c r="A18" s="13">
        <v>9</v>
      </c>
      <c r="B18" s="19">
        <v>1007</v>
      </c>
      <c r="C18" s="19">
        <v>52017.299999999996</v>
      </c>
    </row>
    <row r="19" spans="1:3" x14ac:dyDescent="0.3">
      <c r="A19" s="13">
        <v>10</v>
      </c>
      <c r="B19" s="19">
        <v>1128</v>
      </c>
      <c r="C19" s="19">
        <v>64915.700000000033</v>
      </c>
    </row>
    <row r="20" spans="1:3" x14ac:dyDescent="0.3">
      <c r="A20" s="13">
        <v>11</v>
      </c>
      <c r="B20" s="19">
        <v>861</v>
      </c>
      <c r="C20" s="19">
        <v>45943.80000000001</v>
      </c>
    </row>
    <row r="21" spans="1:3" x14ac:dyDescent="0.3">
      <c r="A21" s="13">
        <v>12</v>
      </c>
      <c r="B21" s="19">
        <v>944</v>
      </c>
      <c r="C21" s="19">
        <v>55077.900000000031</v>
      </c>
    </row>
    <row r="22" spans="1:3" x14ac:dyDescent="0.3">
      <c r="A22" s="13">
        <v>13</v>
      </c>
      <c r="B22" s="19">
        <v>788</v>
      </c>
      <c r="C22" s="19">
        <v>45926.19999999999</v>
      </c>
    </row>
    <row r="23" spans="1:3" x14ac:dyDescent="0.3">
      <c r="A23" s="13" t="s">
        <v>2553</v>
      </c>
      <c r="B23" s="19">
        <v>11997</v>
      </c>
      <c r="C23" s="19">
        <v>649019.79999999993</v>
      </c>
    </row>
    <row r="26" spans="1:3" x14ac:dyDescent="0.3">
      <c r="A26" t="s">
        <v>2573</v>
      </c>
    </row>
    <row r="27" spans="1:3" x14ac:dyDescent="0.3">
      <c r="A27" s="12" t="s">
        <v>2552</v>
      </c>
      <c r="B27" t="s">
        <v>2554</v>
      </c>
    </row>
    <row r="28" spans="1:3" x14ac:dyDescent="0.3">
      <c r="A28" s="13">
        <v>1</v>
      </c>
      <c r="B28" s="19">
        <v>397</v>
      </c>
    </row>
    <row r="29" spans="1:3" x14ac:dyDescent="0.3">
      <c r="A29" s="13">
        <v>2</v>
      </c>
      <c r="B29" s="19">
        <v>540</v>
      </c>
    </row>
    <row r="30" spans="1:3" x14ac:dyDescent="0.3">
      <c r="A30" s="13">
        <v>3</v>
      </c>
      <c r="B30" s="19">
        <v>375</v>
      </c>
    </row>
    <row r="31" spans="1:3" x14ac:dyDescent="0.3">
      <c r="A31" s="13">
        <v>4</v>
      </c>
      <c r="B31" s="19">
        <v>246</v>
      </c>
    </row>
    <row r="32" spans="1:3" x14ac:dyDescent="0.3">
      <c r="A32" s="13">
        <v>5</v>
      </c>
      <c r="B32" s="19">
        <v>195</v>
      </c>
    </row>
    <row r="33" spans="1:6" x14ac:dyDescent="0.3">
      <c r="A33" s="13" t="s">
        <v>2571</v>
      </c>
      <c r="B33" s="19">
        <v>414</v>
      </c>
    </row>
    <row r="34" spans="1:6" x14ac:dyDescent="0.3">
      <c r="A34" s="13" t="s">
        <v>2572</v>
      </c>
      <c r="B34" s="19">
        <v>233</v>
      </c>
    </row>
    <row r="35" spans="1:6" x14ac:dyDescent="0.3">
      <c r="A35" s="13" t="s">
        <v>2553</v>
      </c>
      <c r="B35" s="19">
        <v>2400</v>
      </c>
    </row>
    <row r="36" spans="1:6" ht="13.8" customHeight="1" x14ac:dyDescent="0.3"/>
    <row r="37" spans="1:6" x14ac:dyDescent="0.3">
      <c r="A37" s="12" t="s">
        <v>2555</v>
      </c>
      <c r="B37" s="12" t="s">
        <v>2569</v>
      </c>
    </row>
    <row r="38" spans="1:6" x14ac:dyDescent="0.3">
      <c r="A38" s="12" t="s">
        <v>2552</v>
      </c>
      <c r="B38" t="s">
        <v>2565</v>
      </c>
      <c r="C38" t="s">
        <v>2566</v>
      </c>
      <c r="D38" t="s">
        <v>2567</v>
      </c>
      <c r="E38" t="s">
        <v>2568</v>
      </c>
      <c r="F38" t="s">
        <v>2553</v>
      </c>
    </row>
    <row r="39" spans="1:6" x14ac:dyDescent="0.3">
      <c r="A39" s="13" t="s">
        <v>44</v>
      </c>
      <c r="B39" s="19">
        <v>744</v>
      </c>
      <c r="C39" s="19">
        <v>713</v>
      </c>
      <c r="D39" s="19">
        <v>90</v>
      </c>
      <c r="E39" s="19">
        <v>98</v>
      </c>
      <c r="F39" s="19">
        <v>1645</v>
      </c>
    </row>
    <row r="40" spans="1:6" x14ac:dyDescent="0.3">
      <c r="A40" s="13" t="s">
        <v>39</v>
      </c>
      <c r="B40" s="19">
        <v>716</v>
      </c>
      <c r="C40" s="19">
        <v>598</v>
      </c>
      <c r="D40" s="19">
        <v>18</v>
      </c>
      <c r="E40" s="19">
        <v>214</v>
      </c>
      <c r="F40" s="19">
        <v>1546</v>
      </c>
    </row>
    <row r="41" spans="1:6" x14ac:dyDescent="0.3">
      <c r="A41" s="13" t="s">
        <v>26</v>
      </c>
      <c r="B41" s="19">
        <v>627</v>
      </c>
      <c r="C41" s="19">
        <v>393</v>
      </c>
      <c r="D41" s="19">
        <v>29</v>
      </c>
      <c r="E41" s="19">
        <v>137</v>
      </c>
      <c r="F41" s="19">
        <v>1186</v>
      </c>
    </row>
    <row r="42" spans="1:6" x14ac:dyDescent="0.3">
      <c r="A42" s="13" t="s">
        <v>22</v>
      </c>
      <c r="B42" s="19">
        <v>568</v>
      </c>
      <c r="C42" s="19">
        <v>306</v>
      </c>
      <c r="D42" s="19">
        <v>22</v>
      </c>
      <c r="E42" s="19">
        <v>16</v>
      </c>
      <c r="F42" s="19">
        <v>912</v>
      </c>
    </row>
    <row r="43" spans="1:6" x14ac:dyDescent="0.3">
      <c r="A43" s="13" t="s">
        <v>54</v>
      </c>
      <c r="B43" s="19">
        <v>482</v>
      </c>
      <c r="C43" s="19">
        <v>295</v>
      </c>
      <c r="D43" s="19">
        <v>8</v>
      </c>
      <c r="E43" s="19">
        <v>22</v>
      </c>
      <c r="F43" s="19">
        <v>807</v>
      </c>
    </row>
    <row r="44" spans="1:6" x14ac:dyDescent="0.3">
      <c r="A44" s="13" t="s">
        <v>16</v>
      </c>
      <c r="B44" s="19">
        <v>428</v>
      </c>
      <c r="C44" s="19">
        <v>293</v>
      </c>
      <c r="D44" s="19"/>
      <c r="E44" s="19">
        <v>24</v>
      </c>
      <c r="F44" s="19">
        <v>745</v>
      </c>
    </row>
    <row r="45" spans="1:6" x14ac:dyDescent="0.3">
      <c r="A45" s="13" t="s">
        <v>46</v>
      </c>
      <c r="B45" s="19">
        <v>445</v>
      </c>
      <c r="C45" s="19">
        <v>202</v>
      </c>
      <c r="D45" s="19">
        <v>14</v>
      </c>
      <c r="E45" s="19">
        <v>39</v>
      </c>
      <c r="F45" s="19">
        <v>700</v>
      </c>
    </row>
    <row r="46" spans="1:6" x14ac:dyDescent="0.3">
      <c r="A46" s="13" t="s">
        <v>32</v>
      </c>
      <c r="B46" s="19">
        <v>431</v>
      </c>
      <c r="C46" s="19">
        <v>187</v>
      </c>
      <c r="D46" s="19">
        <v>14</v>
      </c>
      <c r="E46" s="19">
        <v>15</v>
      </c>
      <c r="F46" s="19">
        <v>647</v>
      </c>
    </row>
    <row r="47" spans="1:6" x14ac:dyDescent="0.3">
      <c r="A47" s="13" t="s">
        <v>42</v>
      </c>
      <c r="B47" s="19">
        <v>264</v>
      </c>
      <c r="C47" s="19">
        <v>318</v>
      </c>
      <c r="D47" s="19">
        <v>15</v>
      </c>
      <c r="E47" s="19">
        <v>9</v>
      </c>
      <c r="F47" s="19">
        <v>606</v>
      </c>
    </row>
    <row r="48" spans="1:6" x14ac:dyDescent="0.3">
      <c r="A48" s="13" t="s">
        <v>37</v>
      </c>
      <c r="B48" s="19">
        <v>296</v>
      </c>
      <c r="C48" s="19">
        <v>275</v>
      </c>
      <c r="D48" s="19">
        <v>9</v>
      </c>
      <c r="E48" s="19">
        <v>23</v>
      </c>
      <c r="F48" s="19">
        <v>603</v>
      </c>
    </row>
    <row r="49" spans="1:6" x14ac:dyDescent="0.3">
      <c r="A49" s="13" t="s">
        <v>123</v>
      </c>
      <c r="B49" s="19">
        <v>153</v>
      </c>
      <c r="C49" s="19">
        <v>246</v>
      </c>
      <c r="D49" s="19">
        <v>30</v>
      </c>
      <c r="E49" s="19">
        <v>8</v>
      </c>
      <c r="F49" s="19">
        <v>437</v>
      </c>
    </row>
    <row r="50" spans="1:6" x14ac:dyDescent="0.3">
      <c r="A50" s="13" t="s">
        <v>146</v>
      </c>
      <c r="B50" s="19">
        <v>189</v>
      </c>
      <c r="C50" s="19">
        <v>168</v>
      </c>
      <c r="D50" s="19">
        <v>10</v>
      </c>
      <c r="E50" s="19">
        <v>31</v>
      </c>
      <c r="F50" s="19">
        <v>398</v>
      </c>
    </row>
    <row r="51" spans="1:6" x14ac:dyDescent="0.3">
      <c r="A51" s="13" t="s">
        <v>69</v>
      </c>
      <c r="B51" s="19">
        <v>234</v>
      </c>
      <c r="C51" s="19">
        <v>93</v>
      </c>
      <c r="D51" s="19">
        <v>19</v>
      </c>
      <c r="E51" s="19">
        <v>24</v>
      </c>
      <c r="F51" s="19">
        <v>370</v>
      </c>
    </row>
    <row r="52" spans="1:6" x14ac:dyDescent="0.3">
      <c r="A52" s="13" t="s">
        <v>30</v>
      </c>
      <c r="B52" s="19">
        <v>146</v>
      </c>
      <c r="C52" s="19">
        <v>94</v>
      </c>
      <c r="D52" s="19">
        <v>4</v>
      </c>
      <c r="E52" s="19">
        <v>28</v>
      </c>
      <c r="F52" s="19">
        <v>272</v>
      </c>
    </row>
    <row r="53" spans="1:6" x14ac:dyDescent="0.3">
      <c r="A53" s="13" t="s">
        <v>135</v>
      </c>
      <c r="B53" s="19">
        <v>127</v>
      </c>
      <c r="C53" s="19">
        <v>118</v>
      </c>
      <c r="D53" s="19">
        <v>13</v>
      </c>
      <c r="E53" s="19">
        <v>12</v>
      </c>
      <c r="F53" s="19">
        <v>270</v>
      </c>
    </row>
    <row r="54" spans="1:6" x14ac:dyDescent="0.3">
      <c r="A54" s="13" t="s">
        <v>67</v>
      </c>
      <c r="B54" s="19">
        <v>179</v>
      </c>
      <c r="C54" s="19">
        <v>76</v>
      </c>
      <c r="D54" s="19">
        <v>3</v>
      </c>
      <c r="E54" s="19"/>
      <c r="F54" s="19">
        <v>258</v>
      </c>
    </row>
    <row r="55" spans="1:6" x14ac:dyDescent="0.3">
      <c r="A55" s="13" t="s">
        <v>128</v>
      </c>
      <c r="B55" s="19">
        <v>99</v>
      </c>
      <c r="C55" s="19">
        <v>69</v>
      </c>
      <c r="D55" s="19">
        <v>3</v>
      </c>
      <c r="E55" s="19">
        <v>24</v>
      </c>
      <c r="F55" s="19">
        <v>195</v>
      </c>
    </row>
    <row r="56" spans="1:6" x14ac:dyDescent="0.3">
      <c r="A56" s="13" t="s">
        <v>76</v>
      </c>
      <c r="B56" s="19">
        <v>75</v>
      </c>
      <c r="C56" s="19">
        <v>103</v>
      </c>
      <c r="D56" s="19">
        <v>4</v>
      </c>
      <c r="E56" s="19">
        <v>6</v>
      </c>
      <c r="F56" s="19">
        <v>188</v>
      </c>
    </row>
    <row r="57" spans="1:6" x14ac:dyDescent="0.3">
      <c r="A57" s="13" t="s">
        <v>81</v>
      </c>
      <c r="B57" s="19">
        <v>43</v>
      </c>
      <c r="C57" s="19">
        <v>90</v>
      </c>
      <c r="D57" s="19">
        <v>8</v>
      </c>
      <c r="E57" s="19">
        <v>6</v>
      </c>
      <c r="F57" s="19">
        <v>147</v>
      </c>
    </row>
    <row r="58" spans="1:6" x14ac:dyDescent="0.3">
      <c r="A58" s="13" t="s">
        <v>171</v>
      </c>
      <c r="B58" s="19">
        <v>26</v>
      </c>
      <c r="C58" s="19">
        <v>35</v>
      </c>
      <c r="D58" s="19">
        <v>4</v>
      </c>
      <c r="E58" s="19"/>
      <c r="F58" s="19">
        <v>65</v>
      </c>
    </row>
    <row r="59" spans="1:6" x14ac:dyDescent="0.3">
      <c r="A59" s="13" t="s">
        <v>2553</v>
      </c>
      <c r="B59" s="19">
        <v>6272</v>
      </c>
      <c r="C59" s="19">
        <v>4672</v>
      </c>
      <c r="D59" s="19">
        <v>317</v>
      </c>
      <c r="E59" s="19">
        <v>736</v>
      </c>
      <c r="F59" s="19">
        <v>11997</v>
      </c>
    </row>
    <row r="65" spans="1:14" x14ac:dyDescent="0.3">
      <c r="B65" s="12" t="s">
        <v>2552</v>
      </c>
      <c r="C65" t="s">
        <v>2555</v>
      </c>
    </row>
    <row r="66" spans="1:14" x14ac:dyDescent="0.3">
      <c r="B66" s="13" t="s">
        <v>2565</v>
      </c>
      <c r="C66" s="19">
        <v>6272</v>
      </c>
    </row>
    <row r="67" spans="1:14" x14ac:dyDescent="0.3">
      <c r="B67" s="13" t="s">
        <v>2566</v>
      </c>
      <c r="C67" s="19">
        <v>4672</v>
      </c>
    </row>
    <row r="68" spans="1:14" x14ac:dyDescent="0.3">
      <c r="B68" s="13" t="s">
        <v>2567</v>
      </c>
      <c r="C68" s="19">
        <v>317</v>
      </c>
    </row>
    <row r="69" spans="1:14" x14ac:dyDescent="0.3">
      <c r="B69" s="13" t="s">
        <v>2568</v>
      </c>
      <c r="C69" s="19">
        <v>736</v>
      </c>
    </row>
    <row r="70" spans="1:14" x14ac:dyDescent="0.3">
      <c r="B70" s="13" t="s">
        <v>2553</v>
      </c>
      <c r="C70" s="19">
        <v>11997</v>
      </c>
    </row>
    <row r="73" spans="1:14" x14ac:dyDescent="0.3">
      <c r="A73" t="s">
        <v>2574</v>
      </c>
    </row>
    <row r="74" spans="1:14" x14ac:dyDescent="0.3">
      <c r="A74" s="12" t="s">
        <v>10</v>
      </c>
      <c r="B74" s="12" t="s">
        <v>11</v>
      </c>
      <c r="C74" t="s">
        <v>2555</v>
      </c>
      <c r="D74" t="s">
        <v>2556</v>
      </c>
      <c r="G74" t="s">
        <v>2575</v>
      </c>
      <c r="L74" t="s">
        <v>2576</v>
      </c>
    </row>
    <row r="75" spans="1:14" x14ac:dyDescent="0.3">
      <c r="A75" t="s">
        <v>19</v>
      </c>
      <c r="B75" t="s">
        <v>115</v>
      </c>
      <c r="C75" s="19">
        <v>579</v>
      </c>
      <c r="D75" s="19">
        <v>31884.999999999996</v>
      </c>
      <c r="G75" s="16" t="s">
        <v>10</v>
      </c>
      <c r="H75" s="16" t="s">
        <v>11</v>
      </c>
      <c r="I75" s="16" t="s">
        <v>2555</v>
      </c>
      <c r="L75" s="16" t="s">
        <v>10</v>
      </c>
      <c r="M75" s="16" t="s">
        <v>11</v>
      </c>
      <c r="N75" s="16" t="s">
        <v>2556</v>
      </c>
    </row>
    <row r="76" spans="1:14" x14ac:dyDescent="0.3">
      <c r="A76" t="s">
        <v>19</v>
      </c>
      <c r="B76" t="s">
        <v>20</v>
      </c>
      <c r="C76" s="19">
        <v>1</v>
      </c>
      <c r="D76" s="19">
        <v>10.9</v>
      </c>
      <c r="G76" s="17" t="s">
        <v>19</v>
      </c>
      <c r="H76" t="s">
        <v>115</v>
      </c>
      <c r="I76">
        <v>579</v>
      </c>
      <c r="L76" s="17" t="s">
        <v>19</v>
      </c>
      <c r="M76" t="s">
        <v>115</v>
      </c>
      <c r="N76">
        <v>31884.999999999996</v>
      </c>
    </row>
    <row r="77" spans="1:14" x14ac:dyDescent="0.3">
      <c r="A77" t="s">
        <v>19</v>
      </c>
      <c r="B77" t="s">
        <v>641</v>
      </c>
      <c r="C77" s="19">
        <v>9</v>
      </c>
      <c r="D77" s="19">
        <v>800.3</v>
      </c>
      <c r="G77" s="17" t="s">
        <v>19</v>
      </c>
      <c r="H77" t="s">
        <v>20</v>
      </c>
      <c r="I77">
        <v>1</v>
      </c>
      <c r="L77" s="17" t="s">
        <v>19</v>
      </c>
      <c r="M77" t="s">
        <v>20</v>
      </c>
      <c r="N77">
        <v>10.9</v>
      </c>
    </row>
    <row r="78" spans="1:14" x14ac:dyDescent="0.3">
      <c r="A78" t="s">
        <v>19</v>
      </c>
      <c r="B78" t="s">
        <v>967</v>
      </c>
      <c r="C78" s="19">
        <v>35</v>
      </c>
      <c r="D78" s="19">
        <v>1062.5999999999999</v>
      </c>
      <c r="G78" s="17" t="s">
        <v>19</v>
      </c>
      <c r="H78" t="s">
        <v>641</v>
      </c>
      <c r="I78">
        <v>9</v>
      </c>
      <c r="L78" s="17" t="s">
        <v>19</v>
      </c>
      <c r="M78" t="s">
        <v>641</v>
      </c>
      <c r="N78">
        <v>800.3</v>
      </c>
    </row>
    <row r="79" spans="1:14" x14ac:dyDescent="0.3">
      <c r="A79" t="s">
        <v>19</v>
      </c>
      <c r="B79" t="s">
        <v>84</v>
      </c>
      <c r="C79" s="19">
        <v>12</v>
      </c>
      <c r="D79" s="19">
        <v>326.20000000000005</v>
      </c>
      <c r="G79" s="17" t="s">
        <v>19</v>
      </c>
      <c r="H79" t="s">
        <v>967</v>
      </c>
      <c r="I79">
        <v>35</v>
      </c>
      <c r="L79" s="17" t="s">
        <v>19</v>
      </c>
      <c r="M79" t="s">
        <v>967</v>
      </c>
      <c r="N79">
        <v>1062.5999999999999</v>
      </c>
    </row>
    <row r="80" spans="1:14" x14ac:dyDescent="0.3">
      <c r="A80" t="s">
        <v>19</v>
      </c>
      <c r="B80" t="s">
        <v>1383</v>
      </c>
      <c r="C80" s="19">
        <v>4</v>
      </c>
      <c r="D80" s="19">
        <v>167.5</v>
      </c>
      <c r="G80" s="17" t="s">
        <v>19</v>
      </c>
      <c r="H80" t="s">
        <v>84</v>
      </c>
      <c r="I80">
        <v>12</v>
      </c>
      <c r="L80" s="17" t="s">
        <v>19</v>
      </c>
      <c r="M80" t="s">
        <v>84</v>
      </c>
      <c r="N80">
        <v>326.20000000000005</v>
      </c>
    </row>
    <row r="81" spans="1:14" x14ac:dyDescent="0.3">
      <c r="A81" t="s">
        <v>19</v>
      </c>
      <c r="B81" t="s">
        <v>24</v>
      </c>
      <c r="C81" s="19">
        <v>341</v>
      </c>
      <c r="D81" s="19">
        <v>16168.7</v>
      </c>
      <c r="G81" s="17" t="s">
        <v>19</v>
      </c>
      <c r="H81" t="s">
        <v>1383</v>
      </c>
      <c r="I81">
        <v>4</v>
      </c>
      <c r="L81" s="17" t="s">
        <v>19</v>
      </c>
      <c r="M81" t="s">
        <v>1383</v>
      </c>
      <c r="N81">
        <v>167.5</v>
      </c>
    </row>
    <row r="82" spans="1:14" x14ac:dyDescent="0.3">
      <c r="A82" t="s">
        <v>19</v>
      </c>
      <c r="B82" t="s">
        <v>2204</v>
      </c>
      <c r="C82" s="19">
        <v>13</v>
      </c>
      <c r="D82" s="19">
        <v>322.40000000000003</v>
      </c>
      <c r="G82" s="17" t="s">
        <v>19</v>
      </c>
      <c r="H82" t="s">
        <v>24</v>
      </c>
      <c r="I82">
        <v>341</v>
      </c>
      <c r="L82" s="17" t="s">
        <v>19</v>
      </c>
      <c r="M82" t="s">
        <v>24</v>
      </c>
      <c r="N82">
        <v>16168.7</v>
      </c>
    </row>
    <row r="83" spans="1:14" x14ac:dyDescent="0.3">
      <c r="A83" t="s">
        <v>19</v>
      </c>
      <c r="B83" t="s">
        <v>437</v>
      </c>
      <c r="C83" s="19">
        <v>31</v>
      </c>
      <c r="D83" s="19">
        <v>2092.8000000000002</v>
      </c>
      <c r="G83" s="17" t="s">
        <v>19</v>
      </c>
      <c r="H83" t="s">
        <v>2204</v>
      </c>
      <c r="I83">
        <v>13</v>
      </c>
      <c r="L83" s="17" t="s">
        <v>19</v>
      </c>
      <c r="M83" t="s">
        <v>2204</v>
      </c>
      <c r="N83">
        <v>322.40000000000003</v>
      </c>
    </row>
    <row r="84" spans="1:14" x14ac:dyDescent="0.3">
      <c r="A84" t="s">
        <v>19</v>
      </c>
      <c r="B84" t="s">
        <v>28</v>
      </c>
      <c r="C84" s="19">
        <v>279</v>
      </c>
      <c r="D84" s="19">
        <v>12662.500000000002</v>
      </c>
      <c r="G84" s="17" t="s">
        <v>19</v>
      </c>
      <c r="H84" t="s">
        <v>437</v>
      </c>
      <c r="I84">
        <v>31</v>
      </c>
      <c r="L84" s="17" t="s">
        <v>19</v>
      </c>
      <c r="M84" t="s">
        <v>437</v>
      </c>
      <c r="N84">
        <v>2092.8000000000002</v>
      </c>
    </row>
    <row r="85" spans="1:14" x14ac:dyDescent="0.3">
      <c r="A85" t="s">
        <v>19</v>
      </c>
      <c r="B85" t="s">
        <v>208</v>
      </c>
      <c r="C85" s="19">
        <v>9</v>
      </c>
      <c r="D85" s="19">
        <v>343.2</v>
      </c>
      <c r="G85" s="17" t="s">
        <v>19</v>
      </c>
      <c r="H85" t="s">
        <v>28</v>
      </c>
      <c r="I85">
        <v>279</v>
      </c>
      <c r="L85" s="17" t="s">
        <v>19</v>
      </c>
      <c r="M85" t="s">
        <v>28</v>
      </c>
      <c r="N85">
        <v>12662.500000000002</v>
      </c>
    </row>
    <row r="86" spans="1:14" x14ac:dyDescent="0.3">
      <c r="A86" t="s">
        <v>19</v>
      </c>
      <c r="B86" t="s">
        <v>587</v>
      </c>
      <c r="C86" s="19">
        <v>49</v>
      </c>
      <c r="D86" s="19">
        <v>2188.2999999999997</v>
      </c>
      <c r="G86" s="17" t="s">
        <v>19</v>
      </c>
      <c r="H86" t="s">
        <v>208</v>
      </c>
      <c r="I86">
        <v>9</v>
      </c>
      <c r="L86" s="17" t="s">
        <v>19</v>
      </c>
      <c r="M86" t="s">
        <v>208</v>
      </c>
      <c r="N86">
        <v>343.2</v>
      </c>
    </row>
    <row r="87" spans="1:14" x14ac:dyDescent="0.3">
      <c r="A87" t="s">
        <v>19</v>
      </c>
      <c r="B87" t="s">
        <v>331</v>
      </c>
      <c r="C87" s="19">
        <v>59</v>
      </c>
      <c r="D87" s="19">
        <v>2661.5999999999995</v>
      </c>
      <c r="G87" s="17" t="s">
        <v>19</v>
      </c>
      <c r="H87" t="s">
        <v>587</v>
      </c>
      <c r="I87">
        <v>49</v>
      </c>
      <c r="L87" s="17" t="s">
        <v>19</v>
      </c>
      <c r="M87" t="s">
        <v>587</v>
      </c>
      <c r="N87">
        <v>2188.2999999999997</v>
      </c>
    </row>
    <row r="88" spans="1:14" x14ac:dyDescent="0.3">
      <c r="A88" t="s">
        <v>19</v>
      </c>
      <c r="B88" t="s">
        <v>86</v>
      </c>
      <c r="C88" s="19">
        <v>8</v>
      </c>
      <c r="D88" s="19">
        <v>887.5</v>
      </c>
      <c r="G88" s="17" t="s">
        <v>19</v>
      </c>
      <c r="H88" t="s">
        <v>331</v>
      </c>
      <c r="I88">
        <v>59</v>
      </c>
      <c r="L88" s="17" t="s">
        <v>19</v>
      </c>
      <c r="M88" t="s">
        <v>331</v>
      </c>
      <c r="N88">
        <v>2661.5999999999995</v>
      </c>
    </row>
    <row r="89" spans="1:14" x14ac:dyDescent="0.3">
      <c r="A89" t="s">
        <v>19</v>
      </c>
      <c r="B89" t="s">
        <v>147</v>
      </c>
      <c r="C89" s="19">
        <v>222</v>
      </c>
      <c r="D89" s="19">
        <v>11354.199999999993</v>
      </c>
      <c r="G89" s="17" t="s">
        <v>19</v>
      </c>
      <c r="H89" t="s">
        <v>86</v>
      </c>
      <c r="I89">
        <v>8</v>
      </c>
      <c r="L89" s="17" t="s">
        <v>19</v>
      </c>
      <c r="M89" t="s">
        <v>86</v>
      </c>
      <c r="N89">
        <v>887.5</v>
      </c>
    </row>
    <row r="90" spans="1:14" x14ac:dyDescent="0.3">
      <c r="A90" t="s">
        <v>19</v>
      </c>
      <c r="B90" t="s">
        <v>334</v>
      </c>
      <c r="C90" s="19">
        <v>36</v>
      </c>
      <c r="D90" s="19">
        <v>1558.4</v>
      </c>
      <c r="G90" s="17" t="s">
        <v>19</v>
      </c>
      <c r="H90" t="s">
        <v>147</v>
      </c>
      <c r="I90">
        <v>222</v>
      </c>
      <c r="L90" s="17" t="s">
        <v>19</v>
      </c>
      <c r="M90" t="s">
        <v>147</v>
      </c>
      <c r="N90">
        <v>11354.199999999993</v>
      </c>
    </row>
    <row r="91" spans="1:14" x14ac:dyDescent="0.3">
      <c r="A91" t="s">
        <v>19</v>
      </c>
      <c r="B91" t="s">
        <v>949</v>
      </c>
      <c r="C91" s="19">
        <v>30</v>
      </c>
      <c r="D91" s="19">
        <v>2223.9</v>
      </c>
      <c r="G91" s="17" t="s">
        <v>19</v>
      </c>
      <c r="H91" t="s">
        <v>334</v>
      </c>
      <c r="I91">
        <v>36</v>
      </c>
      <c r="L91" s="17" t="s">
        <v>19</v>
      </c>
      <c r="M91" t="s">
        <v>334</v>
      </c>
      <c r="N91">
        <v>1558.4</v>
      </c>
    </row>
    <row r="92" spans="1:14" x14ac:dyDescent="0.3">
      <c r="A92" t="s">
        <v>19</v>
      </c>
      <c r="B92" t="s">
        <v>1426</v>
      </c>
      <c r="C92" s="19">
        <v>1</v>
      </c>
      <c r="D92" s="19">
        <v>26.2</v>
      </c>
      <c r="G92" s="17" t="s">
        <v>19</v>
      </c>
      <c r="H92" t="s">
        <v>949</v>
      </c>
      <c r="I92">
        <v>30</v>
      </c>
      <c r="L92" s="17" t="s">
        <v>19</v>
      </c>
      <c r="M92" t="s">
        <v>949</v>
      </c>
      <c r="N92">
        <v>2223.9</v>
      </c>
    </row>
    <row r="93" spans="1:14" x14ac:dyDescent="0.3">
      <c r="A93" t="s">
        <v>19</v>
      </c>
      <c r="B93" t="s">
        <v>33</v>
      </c>
      <c r="C93" s="19">
        <v>3991</v>
      </c>
      <c r="D93" s="19">
        <v>215551.19999999981</v>
      </c>
      <c r="G93" s="17" t="s">
        <v>19</v>
      </c>
      <c r="H93" t="s">
        <v>1426</v>
      </c>
      <c r="I93">
        <v>1</v>
      </c>
      <c r="L93" s="17" t="s">
        <v>19</v>
      </c>
      <c r="M93" t="s">
        <v>1426</v>
      </c>
      <c r="N93">
        <v>26.2</v>
      </c>
    </row>
    <row r="94" spans="1:14" x14ac:dyDescent="0.3">
      <c r="A94" t="s">
        <v>19</v>
      </c>
      <c r="B94" t="s">
        <v>364</v>
      </c>
      <c r="C94" s="19">
        <v>45</v>
      </c>
      <c r="D94" s="19">
        <v>2687.3999999999996</v>
      </c>
      <c r="G94" s="17" t="s">
        <v>19</v>
      </c>
      <c r="H94" t="s">
        <v>33</v>
      </c>
      <c r="I94">
        <v>3991</v>
      </c>
      <c r="L94" s="17" t="s">
        <v>19</v>
      </c>
      <c r="M94" t="s">
        <v>33</v>
      </c>
      <c r="N94">
        <v>215551.19999999981</v>
      </c>
    </row>
    <row r="95" spans="1:14" x14ac:dyDescent="0.3">
      <c r="A95" t="s">
        <v>19</v>
      </c>
      <c r="B95" t="s">
        <v>545</v>
      </c>
      <c r="C95" s="19">
        <v>39</v>
      </c>
      <c r="D95" s="19">
        <v>1463.3000000000002</v>
      </c>
      <c r="G95" s="17" t="s">
        <v>19</v>
      </c>
      <c r="H95" t="s">
        <v>364</v>
      </c>
      <c r="I95">
        <v>45</v>
      </c>
      <c r="L95" s="17" t="s">
        <v>19</v>
      </c>
      <c r="M95" t="s">
        <v>364</v>
      </c>
      <c r="N95">
        <v>2687.3999999999996</v>
      </c>
    </row>
    <row r="96" spans="1:14" x14ac:dyDescent="0.3">
      <c r="A96" t="s">
        <v>19</v>
      </c>
      <c r="B96" t="s">
        <v>416</v>
      </c>
      <c r="C96" s="19">
        <v>6</v>
      </c>
      <c r="D96" s="19">
        <v>445.79999999999995</v>
      </c>
      <c r="G96" s="17" t="s">
        <v>19</v>
      </c>
      <c r="H96" t="s">
        <v>545</v>
      </c>
      <c r="I96">
        <v>39</v>
      </c>
      <c r="L96" s="17" t="s">
        <v>19</v>
      </c>
      <c r="M96" t="s">
        <v>545</v>
      </c>
      <c r="N96">
        <v>1463.3000000000002</v>
      </c>
    </row>
    <row r="97" spans="1:14" x14ac:dyDescent="0.3">
      <c r="A97" t="s">
        <v>19</v>
      </c>
      <c r="B97" t="s">
        <v>258</v>
      </c>
      <c r="C97" s="19">
        <v>9</v>
      </c>
      <c r="D97" s="19">
        <v>273.59999999999997</v>
      </c>
      <c r="G97" s="17" t="s">
        <v>19</v>
      </c>
      <c r="H97" t="s">
        <v>416</v>
      </c>
      <c r="I97">
        <v>6</v>
      </c>
      <c r="L97" s="17" t="s">
        <v>19</v>
      </c>
      <c r="M97" t="s">
        <v>416</v>
      </c>
      <c r="N97">
        <v>445.79999999999995</v>
      </c>
    </row>
    <row r="98" spans="1:14" x14ac:dyDescent="0.3">
      <c r="A98" t="s">
        <v>19</v>
      </c>
      <c r="B98" t="s">
        <v>186</v>
      </c>
      <c r="C98" s="19">
        <v>60</v>
      </c>
      <c r="D98" s="19">
        <v>2690.4</v>
      </c>
      <c r="G98" s="17" t="s">
        <v>19</v>
      </c>
      <c r="H98" t="s">
        <v>258</v>
      </c>
      <c r="I98">
        <v>9</v>
      </c>
      <c r="L98" s="17" t="s">
        <v>19</v>
      </c>
      <c r="M98" t="s">
        <v>258</v>
      </c>
      <c r="N98">
        <v>273.59999999999997</v>
      </c>
    </row>
    <row r="99" spans="1:14" x14ac:dyDescent="0.3">
      <c r="A99" t="s">
        <v>19</v>
      </c>
      <c r="B99" t="s">
        <v>392</v>
      </c>
      <c r="C99" s="19">
        <v>2</v>
      </c>
      <c r="D99" s="19">
        <v>28.4</v>
      </c>
      <c r="G99" s="17" t="s">
        <v>19</v>
      </c>
      <c r="H99" t="s">
        <v>186</v>
      </c>
      <c r="I99">
        <v>60</v>
      </c>
      <c r="L99" s="17" t="s">
        <v>19</v>
      </c>
      <c r="M99" t="s">
        <v>186</v>
      </c>
      <c r="N99">
        <v>2690.4</v>
      </c>
    </row>
    <row r="100" spans="1:14" x14ac:dyDescent="0.3">
      <c r="A100" t="s">
        <v>19</v>
      </c>
      <c r="B100" t="s">
        <v>670</v>
      </c>
      <c r="C100" s="19">
        <v>4</v>
      </c>
      <c r="D100" s="19">
        <v>204.8</v>
      </c>
      <c r="G100" s="17" t="s">
        <v>19</v>
      </c>
      <c r="H100" t="s">
        <v>392</v>
      </c>
      <c r="I100">
        <v>2</v>
      </c>
      <c r="L100" s="17" t="s">
        <v>19</v>
      </c>
      <c r="M100" t="s">
        <v>392</v>
      </c>
      <c r="N100">
        <v>28.4</v>
      </c>
    </row>
    <row r="101" spans="1:14" x14ac:dyDescent="0.3">
      <c r="A101" t="s">
        <v>19</v>
      </c>
      <c r="B101" t="s">
        <v>802</v>
      </c>
      <c r="C101" s="19">
        <v>31</v>
      </c>
      <c r="D101" s="19">
        <v>1607.8999999999999</v>
      </c>
      <c r="G101" s="17" t="s">
        <v>19</v>
      </c>
      <c r="H101" t="s">
        <v>670</v>
      </c>
      <c r="I101">
        <v>4</v>
      </c>
      <c r="L101" s="17" t="s">
        <v>19</v>
      </c>
      <c r="M101" t="s">
        <v>670</v>
      </c>
      <c r="N101">
        <v>204.8</v>
      </c>
    </row>
    <row r="102" spans="1:14" x14ac:dyDescent="0.3">
      <c r="A102" t="s">
        <v>19</v>
      </c>
      <c r="B102" t="s">
        <v>98</v>
      </c>
      <c r="C102" s="19">
        <v>88</v>
      </c>
      <c r="D102" s="19">
        <v>6444.9</v>
      </c>
      <c r="G102" s="17" t="s">
        <v>19</v>
      </c>
      <c r="H102" t="s">
        <v>802</v>
      </c>
      <c r="I102">
        <v>31</v>
      </c>
      <c r="L102" s="17" t="s">
        <v>19</v>
      </c>
      <c r="M102" t="s">
        <v>802</v>
      </c>
      <c r="N102">
        <v>1607.8999999999999</v>
      </c>
    </row>
    <row r="103" spans="1:14" x14ac:dyDescent="0.3">
      <c r="A103" t="s">
        <v>19</v>
      </c>
      <c r="B103" t="s">
        <v>49</v>
      </c>
      <c r="C103" s="19">
        <v>25</v>
      </c>
      <c r="D103" s="19">
        <v>1809.3</v>
      </c>
      <c r="G103" s="17" t="s">
        <v>19</v>
      </c>
      <c r="H103" t="s">
        <v>98</v>
      </c>
      <c r="I103">
        <v>88</v>
      </c>
      <c r="L103" s="17" t="s">
        <v>19</v>
      </c>
      <c r="M103" t="s">
        <v>98</v>
      </c>
      <c r="N103">
        <v>6444.9</v>
      </c>
    </row>
    <row r="104" spans="1:14" x14ac:dyDescent="0.3">
      <c r="A104" t="s">
        <v>19</v>
      </c>
      <c r="B104" t="s">
        <v>188</v>
      </c>
      <c r="C104" s="19">
        <v>178</v>
      </c>
      <c r="D104" s="19">
        <v>9680.399999999996</v>
      </c>
      <c r="G104" s="17" t="s">
        <v>19</v>
      </c>
      <c r="H104" t="s">
        <v>49</v>
      </c>
      <c r="I104">
        <v>25</v>
      </c>
      <c r="L104" s="17" t="s">
        <v>19</v>
      </c>
      <c r="M104" t="s">
        <v>49</v>
      </c>
      <c r="N104">
        <v>1809.3</v>
      </c>
    </row>
    <row r="105" spans="1:14" x14ac:dyDescent="0.3">
      <c r="A105" t="s">
        <v>19</v>
      </c>
      <c r="B105" t="s">
        <v>52</v>
      </c>
      <c r="C105" s="19">
        <v>141</v>
      </c>
      <c r="D105" s="19">
        <v>9414.7999999999993</v>
      </c>
      <c r="G105" s="17" t="s">
        <v>19</v>
      </c>
      <c r="H105" t="s">
        <v>188</v>
      </c>
      <c r="I105">
        <v>178</v>
      </c>
      <c r="L105" s="17" t="s">
        <v>19</v>
      </c>
      <c r="M105" t="s">
        <v>188</v>
      </c>
      <c r="N105">
        <v>9680.399999999996</v>
      </c>
    </row>
    <row r="106" spans="1:14" x14ac:dyDescent="0.3">
      <c r="A106" t="s">
        <v>19</v>
      </c>
      <c r="B106" t="s">
        <v>338</v>
      </c>
      <c r="C106" s="19">
        <v>6</v>
      </c>
      <c r="D106" s="19">
        <v>206.1</v>
      </c>
      <c r="G106" s="17" t="s">
        <v>19</v>
      </c>
      <c r="H106" t="s">
        <v>52</v>
      </c>
      <c r="I106">
        <v>141</v>
      </c>
      <c r="L106" s="17" t="s">
        <v>19</v>
      </c>
      <c r="M106" t="s">
        <v>52</v>
      </c>
      <c r="N106">
        <v>9414.7999999999993</v>
      </c>
    </row>
    <row r="107" spans="1:14" x14ac:dyDescent="0.3">
      <c r="A107" t="s">
        <v>19</v>
      </c>
      <c r="B107" t="s">
        <v>158</v>
      </c>
      <c r="C107" s="19">
        <v>178</v>
      </c>
      <c r="D107" s="19">
        <v>7691.3</v>
      </c>
      <c r="G107" s="17" t="s">
        <v>19</v>
      </c>
      <c r="H107" t="s">
        <v>338</v>
      </c>
      <c r="I107">
        <v>6</v>
      </c>
      <c r="L107" s="17" t="s">
        <v>19</v>
      </c>
      <c r="M107" t="s">
        <v>338</v>
      </c>
      <c r="N107">
        <v>206.1</v>
      </c>
    </row>
    <row r="108" spans="1:14" x14ac:dyDescent="0.3">
      <c r="A108" t="s">
        <v>19</v>
      </c>
      <c r="B108" t="s">
        <v>55</v>
      </c>
      <c r="C108" s="19">
        <v>699</v>
      </c>
      <c r="D108" s="19">
        <v>37784.900000000016</v>
      </c>
      <c r="G108" s="17" t="s">
        <v>19</v>
      </c>
      <c r="H108" t="s">
        <v>158</v>
      </c>
      <c r="I108">
        <v>178</v>
      </c>
      <c r="L108" s="17" t="s">
        <v>19</v>
      </c>
      <c r="M108" t="s">
        <v>158</v>
      </c>
      <c r="N108">
        <v>7691.3</v>
      </c>
    </row>
    <row r="109" spans="1:14" x14ac:dyDescent="0.3">
      <c r="A109" t="s">
        <v>19</v>
      </c>
      <c r="B109" t="s">
        <v>342</v>
      </c>
      <c r="C109" s="19">
        <v>23</v>
      </c>
      <c r="D109" s="19">
        <v>1129.7</v>
      </c>
      <c r="G109" s="17" t="s">
        <v>19</v>
      </c>
      <c r="H109" t="s">
        <v>55</v>
      </c>
      <c r="I109">
        <v>699</v>
      </c>
      <c r="L109" s="17" t="s">
        <v>19</v>
      </c>
      <c r="M109" t="s">
        <v>55</v>
      </c>
      <c r="N109">
        <v>37784.900000000016</v>
      </c>
    </row>
    <row r="110" spans="1:14" x14ac:dyDescent="0.3">
      <c r="A110" t="s">
        <v>19</v>
      </c>
      <c r="B110" t="s">
        <v>59</v>
      </c>
      <c r="C110" s="19">
        <v>356</v>
      </c>
      <c r="D110" s="19">
        <v>20988.9</v>
      </c>
      <c r="G110" s="17" t="s">
        <v>19</v>
      </c>
      <c r="H110" t="s">
        <v>342</v>
      </c>
      <c r="I110">
        <v>23</v>
      </c>
      <c r="L110" s="17" t="s">
        <v>19</v>
      </c>
      <c r="M110" t="s">
        <v>342</v>
      </c>
      <c r="N110">
        <v>1129.7</v>
      </c>
    </row>
    <row r="111" spans="1:14" x14ac:dyDescent="0.3">
      <c r="A111" t="s">
        <v>19</v>
      </c>
      <c r="B111" t="s">
        <v>62</v>
      </c>
      <c r="C111" s="19">
        <v>1768</v>
      </c>
      <c r="D111" s="19">
        <v>98367.099999999977</v>
      </c>
      <c r="G111" s="17" t="s">
        <v>19</v>
      </c>
      <c r="H111" t="s">
        <v>59</v>
      </c>
      <c r="I111">
        <v>356</v>
      </c>
      <c r="L111" s="17" t="s">
        <v>19</v>
      </c>
      <c r="M111" t="s">
        <v>59</v>
      </c>
      <c r="N111">
        <v>20988.9</v>
      </c>
    </row>
    <row r="112" spans="1:14" x14ac:dyDescent="0.3">
      <c r="A112" t="s">
        <v>19</v>
      </c>
      <c r="B112" t="s">
        <v>103</v>
      </c>
      <c r="C112" s="19">
        <v>307</v>
      </c>
      <c r="D112" s="19">
        <v>21911.9</v>
      </c>
      <c r="G112" s="17" t="s">
        <v>19</v>
      </c>
      <c r="H112" t="s">
        <v>62</v>
      </c>
      <c r="I112">
        <v>1768</v>
      </c>
      <c r="L112" s="17" t="s">
        <v>19</v>
      </c>
      <c r="M112" t="s">
        <v>62</v>
      </c>
      <c r="N112">
        <v>98367.099999999977</v>
      </c>
    </row>
    <row r="113" spans="1:14" x14ac:dyDescent="0.3">
      <c r="A113" t="s">
        <v>19</v>
      </c>
      <c r="B113" t="s">
        <v>201</v>
      </c>
      <c r="C113" s="19">
        <v>117</v>
      </c>
      <c r="D113" s="19">
        <v>5441.2</v>
      </c>
      <c r="G113" s="17" t="s">
        <v>19</v>
      </c>
      <c r="H113" t="s">
        <v>103</v>
      </c>
      <c r="I113">
        <v>307</v>
      </c>
      <c r="L113" s="17" t="s">
        <v>19</v>
      </c>
      <c r="M113" t="s">
        <v>103</v>
      </c>
      <c r="N113">
        <v>21911.9</v>
      </c>
    </row>
    <row r="114" spans="1:14" x14ac:dyDescent="0.3">
      <c r="A114" t="s">
        <v>19</v>
      </c>
      <c r="B114" t="s">
        <v>429</v>
      </c>
      <c r="C114" s="19">
        <v>13</v>
      </c>
      <c r="D114" s="19">
        <v>392.8</v>
      </c>
      <c r="G114" s="17" t="s">
        <v>19</v>
      </c>
      <c r="H114" t="s">
        <v>201</v>
      </c>
      <c r="I114">
        <v>117</v>
      </c>
      <c r="L114" s="17" t="s">
        <v>19</v>
      </c>
      <c r="M114" t="s">
        <v>201</v>
      </c>
      <c r="N114">
        <v>5441.2</v>
      </c>
    </row>
    <row r="115" spans="1:14" x14ac:dyDescent="0.3">
      <c r="A115" t="s">
        <v>19</v>
      </c>
      <c r="B115" t="s">
        <v>72</v>
      </c>
      <c r="C115" s="19">
        <v>364</v>
      </c>
      <c r="D115" s="19">
        <v>16172.000000000005</v>
      </c>
      <c r="G115" s="17" t="s">
        <v>19</v>
      </c>
      <c r="H115" t="s">
        <v>429</v>
      </c>
      <c r="I115">
        <v>13</v>
      </c>
      <c r="L115" s="17" t="s">
        <v>19</v>
      </c>
      <c r="M115" t="s">
        <v>429</v>
      </c>
      <c r="N115">
        <v>392.8</v>
      </c>
    </row>
    <row r="116" spans="1:14" x14ac:dyDescent="0.3">
      <c r="A116" t="s">
        <v>19</v>
      </c>
      <c r="B116" t="s">
        <v>74</v>
      </c>
      <c r="C116" s="19">
        <v>95</v>
      </c>
      <c r="D116" s="19">
        <v>4334.9999999999991</v>
      </c>
      <c r="G116" s="17" t="s">
        <v>19</v>
      </c>
      <c r="H116" t="s">
        <v>72</v>
      </c>
      <c r="I116">
        <v>364</v>
      </c>
      <c r="L116" s="17" t="s">
        <v>19</v>
      </c>
      <c r="M116" t="s">
        <v>72</v>
      </c>
      <c r="N116">
        <v>16172.000000000005</v>
      </c>
    </row>
    <row r="117" spans="1:14" x14ac:dyDescent="0.3">
      <c r="A117" t="s">
        <v>19</v>
      </c>
      <c r="B117" t="s">
        <v>77</v>
      </c>
      <c r="C117" s="19">
        <v>737</v>
      </c>
      <c r="D117" s="19">
        <v>37449.000000000007</v>
      </c>
      <c r="G117" s="17" t="s">
        <v>19</v>
      </c>
      <c r="H117" t="s">
        <v>74</v>
      </c>
      <c r="I117">
        <v>95</v>
      </c>
      <c r="L117" s="17" t="s">
        <v>19</v>
      </c>
      <c r="M117" t="s">
        <v>74</v>
      </c>
      <c r="N117">
        <v>4334.9999999999991</v>
      </c>
    </row>
    <row r="118" spans="1:14" x14ac:dyDescent="0.3">
      <c r="A118" t="s">
        <v>19</v>
      </c>
      <c r="B118" t="s">
        <v>309</v>
      </c>
      <c r="C118" s="19">
        <v>39</v>
      </c>
      <c r="D118" s="19">
        <v>2447.5</v>
      </c>
      <c r="G118" s="17" t="s">
        <v>19</v>
      </c>
      <c r="H118" t="s">
        <v>77</v>
      </c>
      <c r="I118">
        <v>737</v>
      </c>
      <c r="L118" s="17" t="s">
        <v>19</v>
      </c>
      <c r="M118" t="s">
        <v>77</v>
      </c>
      <c r="N118">
        <v>37449.000000000007</v>
      </c>
    </row>
    <row r="119" spans="1:14" x14ac:dyDescent="0.3">
      <c r="A119" t="s">
        <v>19</v>
      </c>
      <c r="B119" t="s">
        <v>1116</v>
      </c>
      <c r="C119" s="19">
        <v>56</v>
      </c>
      <c r="D119" s="19">
        <v>3391.1</v>
      </c>
      <c r="G119" s="17" t="s">
        <v>19</v>
      </c>
      <c r="H119" t="s">
        <v>309</v>
      </c>
      <c r="I119">
        <v>39</v>
      </c>
      <c r="L119" s="17" t="s">
        <v>19</v>
      </c>
      <c r="M119" t="s">
        <v>309</v>
      </c>
      <c r="N119">
        <v>2447.5</v>
      </c>
    </row>
    <row r="120" spans="1:14" x14ac:dyDescent="0.3">
      <c r="A120" t="s">
        <v>19</v>
      </c>
      <c r="B120" t="s">
        <v>700</v>
      </c>
      <c r="C120" s="19">
        <v>2</v>
      </c>
      <c r="D120" s="19">
        <v>30.8</v>
      </c>
      <c r="G120" s="17" t="s">
        <v>19</v>
      </c>
      <c r="H120" t="s">
        <v>1116</v>
      </c>
      <c r="I120">
        <v>56</v>
      </c>
      <c r="L120" s="17" t="s">
        <v>19</v>
      </c>
      <c r="M120" t="s">
        <v>1116</v>
      </c>
      <c r="N120">
        <v>3391.1</v>
      </c>
    </row>
    <row r="121" spans="1:14" x14ac:dyDescent="0.3">
      <c r="A121" t="s">
        <v>19</v>
      </c>
      <c r="B121" t="s">
        <v>268</v>
      </c>
      <c r="C121" s="19">
        <v>8</v>
      </c>
      <c r="D121" s="19">
        <v>332.3</v>
      </c>
      <c r="G121" s="17" t="s">
        <v>19</v>
      </c>
      <c r="H121" t="s">
        <v>700</v>
      </c>
      <c r="I121">
        <v>2</v>
      </c>
      <c r="L121" s="17" t="s">
        <v>19</v>
      </c>
      <c r="M121" t="s">
        <v>700</v>
      </c>
      <c r="N121">
        <v>30.8</v>
      </c>
    </row>
    <row r="122" spans="1:14" x14ac:dyDescent="0.3">
      <c r="A122" t="s">
        <v>19</v>
      </c>
      <c r="B122" t="s">
        <v>377</v>
      </c>
      <c r="C122" s="19">
        <v>52</v>
      </c>
      <c r="D122" s="19">
        <v>3175.9999999999995</v>
      </c>
      <c r="G122" s="17" t="s">
        <v>19</v>
      </c>
      <c r="H122" t="s">
        <v>268</v>
      </c>
      <c r="I122">
        <v>8</v>
      </c>
      <c r="L122" s="17" t="s">
        <v>19</v>
      </c>
      <c r="M122" t="s">
        <v>268</v>
      </c>
      <c r="N122">
        <v>332.3</v>
      </c>
    </row>
    <row r="123" spans="1:14" x14ac:dyDescent="0.3">
      <c r="A123" t="s">
        <v>19</v>
      </c>
      <c r="B123" t="s">
        <v>108</v>
      </c>
      <c r="C123" s="19">
        <v>295</v>
      </c>
      <c r="D123" s="19">
        <v>20939.600000000002</v>
      </c>
      <c r="G123" s="17" t="s">
        <v>19</v>
      </c>
      <c r="H123" t="s">
        <v>377</v>
      </c>
      <c r="I123">
        <v>52</v>
      </c>
      <c r="L123" s="17" t="s">
        <v>19</v>
      </c>
      <c r="M123" t="s">
        <v>377</v>
      </c>
      <c r="N123">
        <v>3175.9999999999995</v>
      </c>
    </row>
    <row r="124" spans="1:14" x14ac:dyDescent="0.3">
      <c r="A124" t="s">
        <v>19</v>
      </c>
      <c r="B124" t="s">
        <v>110</v>
      </c>
      <c r="C124" s="19">
        <v>195</v>
      </c>
      <c r="D124" s="19">
        <v>10185.899999999996</v>
      </c>
      <c r="G124" s="17" t="s">
        <v>19</v>
      </c>
      <c r="H124" t="s">
        <v>108</v>
      </c>
      <c r="I124">
        <v>295</v>
      </c>
      <c r="L124" s="17" t="s">
        <v>19</v>
      </c>
      <c r="M124" t="s">
        <v>108</v>
      </c>
      <c r="N124">
        <v>20939.600000000002</v>
      </c>
    </row>
    <row r="125" spans="1:14" x14ac:dyDescent="0.3">
      <c r="A125" t="s">
        <v>19</v>
      </c>
      <c r="B125" t="s">
        <v>292</v>
      </c>
      <c r="C125" s="19">
        <v>20</v>
      </c>
      <c r="D125" s="19">
        <v>958.7</v>
      </c>
      <c r="G125" s="17" t="s">
        <v>19</v>
      </c>
      <c r="H125" t="s">
        <v>110</v>
      </c>
      <c r="I125">
        <v>195</v>
      </c>
      <c r="L125" s="17" t="s">
        <v>19</v>
      </c>
      <c r="M125" t="s">
        <v>110</v>
      </c>
      <c r="N125">
        <v>10185.899999999996</v>
      </c>
    </row>
    <row r="126" spans="1:14" x14ac:dyDescent="0.3">
      <c r="A126" t="s">
        <v>19</v>
      </c>
      <c r="B126" t="s">
        <v>79</v>
      </c>
      <c r="C126" s="19">
        <v>6</v>
      </c>
      <c r="D126" s="19">
        <v>323</v>
      </c>
      <c r="G126" s="17" t="s">
        <v>19</v>
      </c>
      <c r="H126" t="s">
        <v>292</v>
      </c>
      <c r="I126">
        <v>20</v>
      </c>
      <c r="L126" s="17" t="s">
        <v>19</v>
      </c>
      <c r="M126" t="s">
        <v>292</v>
      </c>
      <c r="N126">
        <v>958.7</v>
      </c>
    </row>
    <row r="127" spans="1:14" x14ac:dyDescent="0.3">
      <c r="A127" t="s">
        <v>19</v>
      </c>
      <c r="B127" t="s">
        <v>608</v>
      </c>
      <c r="C127" s="19">
        <v>5</v>
      </c>
      <c r="D127" s="19">
        <v>167.70000000000002</v>
      </c>
      <c r="G127" s="17" t="s">
        <v>19</v>
      </c>
      <c r="H127" t="s">
        <v>79</v>
      </c>
      <c r="I127">
        <v>6</v>
      </c>
      <c r="L127" s="17" t="s">
        <v>19</v>
      </c>
      <c r="M127" t="s">
        <v>79</v>
      </c>
      <c r="N127">
        <v>323</v>
      </c>
    </row>
    <row r="128" spans="1:14" x14ac:dyDescent="0.3">
      <c r="A128" t="s">
        <v>19</v>
      </c>
      <c r="B128" t="s">
        <v>113</v>
      </c>
      <c r="C128" s="19">
        <v>94</v>
      </c>
      <c r="D128" s="19">
        <v>3978.5</v>
      </c>
      <c r="G128" s="17" t="s">
        <v>19</v>
      </c>
      <c r="H128" t="s">
        <v>608</v>
      </c>
      <c r="I128">
        <v>5</v>
      </c>
      <c r="L128" s="17" t="s">
        <v>19</v>
      </c>
      <c r="M128" t="s">
        <v>608</v>
      </c>
      <c r="N128">
        <v>167.70000000000002</v>
      </c>
    </row>
    <row r="129" spans="1:14" x14ac:dyDescent="0.3">
      <c r="A129" t="s">
        <v>19</v>
      </c>
      <c r="B129" t="s">
        <v>997</v>
      </c>
      <c r="C129" s="19">
        <v>28</v>
      </c>
      <c r="D129" s="19">
        <v>1405</v>
      </c>
      <c r="G129" s="17" t="s">
        <v>19</v>
      </c>
      <c r="H129" t="s">
        <v>113</v>
      </c>
      <c r="I129">
        <v>94</v>
      </c>
      <c r="L129" s="17" t="s">
        <v>19</v>
      </c>
      <c r="M129" t="s">
        <v>113</v>
      </c>
      <c r="N129">
        <v>3978.5</v>
      </c>
    </row>
    <row r="130" spans="1:14" x14ac:dyDescent="0.3">
      <c r="A130" t="s">
        <v>19</v>
      </c>
      <c r="B130" t="s">
        <v>82</v>
      </c>
      <c r="C130" s="19">
        <v>179</v>
      </c>
      <c r="D130" s="19">
        <v>9869.0999999999985</v>
      </c>
      <c r="G130" s="17" t="s">
        <v>19</v>
      </c>
      <c r="H130" t="s">
        <v>997</v>
      </c>
      <c r="I130">
        <v>28</v>
      </c>
      <c r="L130" s="17" t="s">
        <v>19</v>
      </c>
      <c r="M130" t="s">
        <v>997</v>
      </c>
      <c r="N130">
        <v>1405</v>
      </c>
    </row>
    <row r="131" spans="1:14" x14ac:dyDescent="0.3">
      <c r="A131" t="s">
        <v>19</v>
      </c>
      <c r="B131" t="s">
        <v>243</v>
      </c>
      <c r="C131" s="19">
        <v>15</v>
      </c>
      <c r="D131" s="19">
        <v>615.29999999999995</v>
      </c>
      <c r="G131" s="17" t="s">
        <v>19</v>
      </c>
      <c r="H131" t="s">
        <v>82</v>
      </c>
      <c r="I131">
        <v>179</v>
      </c>
      <c r="L131" s="17" t="s">
        <v>19</v>
      </c>
      <c r="M131" t="s">
        <v>82</v>
      </c>
      <c r="N131">
        <v>9869.0999999999985</v>
      </c>
    </row>
    <row r="132" spans="1:14" x14ac:dyDescent="0.3">
      <c r="A132" t="s">
        <v>19</v>
      </c>
      <c r="B132" t="s">
        <v>1911</v>
      </c>
      <c r="C132" s="19">
        <v>3</v>
      </c>
      <c r="D132" s="19">
        <v>285</v>
      </c>
      <c r="G132" s="17" t="s">
        <v>19</v>
      </c>
      <c r="H132" t="s">
        <v>243</v>
      </c>
      <c r="I132">
        <v>15</v>
      </c>
      <c r="L132" s="17" t="s">
        <v>19</v>
      </c>
      <c r="M132" t="s">
        <v>243</v>
      </c>
      <c r="N132">
        <v>615.29999999999995</v>
      </c>
    </row>
    <row r="133" spans="1:14" x14ac:dyDescent="0.3">
      <c r="G133" s="18" t="s">
        <v>19</v>
      </c>
      <c r="H133" t="s">
        <v>1911</v>
      </c>
      <c r="I133">
        <v>3</v>
      </c>
      <c r="L133" s="18" t="s">
        <v>19</v>
      </c>
      <c r="M133" t="s">
        <v>1911</v>
      </c>
      <c r="N133">
        <v>285</v>
      </c>
    </row>
    <row r="135" spans="1:14" x14ac:dyDescent="0.3">
      <c r="A135" t="s">
        <v>2577</v>
      </c>
    </row>
    <row r="137" spans="1:14" x14ac:dyDescent="0.3">
      <c r="A137" s="12" t="s">
        <v>2552</v>
      </c>
      <c r="B137" t="s">
        <v>2554</v>
      </c>
    </row>
    <row r="138" spans="1:14" x14ac:dyDescent="0.3">
      <c r="A138" s="13">
        <v>0</v>
      </c>
      <c r="B138" s="19">
        <v>175</v>
      </c>
    </row>
    <row r="139" spans="1:14" x14ac:dyDescent="0.3">
      <c r="A139" s="13">
        <v>1</v>
      </c>
      <c r="B139" s="19">
        <v>888</v>
      </c>
    </row>
    <row r="140" spans="1:14" x14ac:dyDescent="0.3">
      <c r="A140" s="13">
        <v>2</v>
      </c>
      <c r="B140" s="19">
        <v>538</v>
      </c>
    </row>
    <row r="141" spans="1:14" x14ac:dyDescent="0.3">
      <c r="A141" s="13">
        <v>3</v>
      </c>
      <c r="B141" s="19">
        <v>344</v>
      </c>
    </row>
    <row r="142" spans="1:14" x14ac:dyDescent="0.3">
      <c r="A142" s="13">
        <v>4</v>
      </c>
      <c r="B142" s="19">
        <v>200</v>
      </c>
    </row>
    <row r="143" spans="1:14" x14ac:dyDescent="0.3">
      <c r="A143" s="13">
        <v>5</v>
      </c>
      <c r="B143" s="19">
        <v>94</v>
      </c>
    </row>
    <row r="144" spans="1:14" x14ac:dyDescent="0.3">
      <c r="A144" s="13">
        <v>6</v>
      </c>
      <c r="B144" s="19">
        <v>51</v>
      </c>
    </row>
    <row r="145" spans="1:7" x14ac:dyDescent="0.3">
      <c r="A145" s="13">
        <v>7</v>
      </c>
      <c r="B145" s="19">
        <v>32</v>
      </c>
    </row>
    <row r="146" spans="1:7" x14ac:dyDescent="0.3">
      <c r="A146" s="13">
        <v>8</v>
      </c>
      <c r="B146" s="19">
        <v>23</v>
      </c>
    </row>
    <row r="147" spans="1:7" x14ac:dyDescent="0.3">
      <c r="A147" s="13">
        <v>9</v>
      </c>
      <c r="B147" s="19">
        <v>9</v>
      </c>
    </row>
    <row r="148" spans="1:7" x14ac:dyDescent="0.3">
      <c r="A148" s="13">
        <v>10</v>
      </c>
      <c r="B148" s="19">
        <v>8</v>
      </c>
    </row>
    <row r="149" spans="1:7" x14ac:dyDescent="0.3">
      <c r="A149" s="13">
        <v>11</v>
      </c>
      <c r="B149" s="19">
        <v>11</v>
      </c>
    </row>
    <row r="150" spans="1:7" x14ac:dyDescent="0.3">
      <c r="A150" s="13">
        <v>12</v>
      </c>
      <c r="B150" s="19">
        <v>4</v>
      </c>
    </row>
    <row r="151" spans="1:7" x14ac:dyDescent="0.3">
      <c r="A151" s="13">
        <v>13</v>
      </c>
      <c r="B151" s="19">
        <v>10</v>
      </c>
    </row>
    <row r="152" spans="1:7" x14ac:dyDescent="0.3">
      <c r="A152" s="13">
        <v>14</v>
      </c>
      <c r="B152" s="19">
        <v>13</v>
      </c>
    </row>
    <row r="153" spans="1:7" x14ac:dyDescent="0.3">
      <c r="A153" s="13" t="s">
        <v>2553</v>
      </c>
      <c r="B153" s="19">
        <v>2400</v>
      </c>
    </row>
    <row r="155" spans="1:7" x14ac:dyDescent="0.3">
      <c r="A155" t="s">
        <v>2578</v>
      </c>
    </row>
    <row r="156" spans="1:7" x14ac:dyDescent="0.3">
      <c r="A156" s="12" t="s">
        <v>2554</v>
      </c>
      <c r="B156" s="12" t="s">
        <v>2569</v>
      </c>
    </row>
    <row r="157" spans="1:7" x14ac:dyDescent="0.3">
      <c r="A157" s="12" t="s">
        <v>2552</v>
      </c>
      <c r="B157">
        <v>1</v>
      </c>
      <c r="C157">
        <v>2</v>
      </c>
      <c r="D157">
        <v>3</v>
      </c>
      <c r="E157">
        <v>4</v>
      </c>
      <c r="F157">
        <v>5</v>
      </c>
      <c r="G157" t="s">
        <v>2553</v>
      </c>
    </row>
    <row r="158" spans="1:7" x14ac:dyDescent="0.3">
      <c r="A158" s="13" t="s">
        <v>2579</v>
      </c>
      <c r="B158" s="19">
        <v>7</v>
      </c>
      <c r="C158" s="19">
        <v>37</v>
      </c>
      <c r="D158" s="19">
        <v>150</v>
      </c>
      <c r="E158" s="19">
        <v>312</v>
      </c>
      <c r="F158" s="19">
        <v>224</v>
      </c>
      <c r="G158" s="19">
        <v>730</v>
      </c>
    </row>
    <row r="159" spans="1:7" x14ac:dyDescent="0.3">
      <c r="A159" s="13" t="s">
        <v>2580</v>
      </c>
      <c r="B159" s="19">
        <v>8</v>
      </c>
      <c r="C159" s="19">
        <v>51</v>
      </c>
      <c r="D159" s="19">
        <v>182</v>
      </c>
      <c r="E159" s="19">
        <v>373</v>
      </c>
      <c r="F159" s="19">
        <v>247</v>
      </c>
      <c r="G159" s="19">
        <v>861</v>
      </c>
    </row>
    <row r="160" spans="1:7" x14ac:dyDescent="0.3">
      <c r="A160" s="13" t="s">
        <v>2581</v>
      </c>
      <c r="B160" s="19">
        <v>6</v>
      </c>
      <c r="C160" s="19">
        <v>39</v>
      </c>
      <c r="D160" s="19">
        <v>163</v>
      </c>
      <c r="E160" s="19">
        <v>351</v>
      </c>
      <c r="F160" s="19">
        <v>250</v>
      </c>
      <c r="G160" s="19">
        <v>809</v>
      </c>
    </row>
    <row r="161" spans="1:7" x14ac:dyDescent="0.3">
      <c r="A161" s="13" t="s">
        <v>2553</v>
      </c>
      <c r="B161" s="19">
        <v>21</v>
      </c>
      <c r="C161" s="19">
        <v>127</v>
      </c>
      <c r="D161" s="19">
        <v>495</v>
      </c>
      <c r="E161" s="19">
        <v>1036</v>
      </c>
      <c r="F161" s="19">
        <v>721</v>
      </c>
      <c r="G161" s="19">
        <v>2400</v>
      </c>
    </row>
  </sheetData>
  <pageMargins left="0.7" right="0.7" top="0.75" bottom="0.75" header="0.3" footer="0.3"/>
  <ignoredErrors>
    <ignoredError sqref="I5"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2DD5F-DBA8-4A45-AF83-4847155336A4}">
  <dimension ref="A1:L10"/>
  <sheetViews>
    <sheetView showGridLines="0" workbookViewId="0">
      <selection activeCell="H10" sqref="H10"/>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0.109375" customWidth="1"/>
    <col min="9" max="9" width="6.6640625" customWidth="1"/>
    <col min="10" max="10" width="6.109375" customWidth="1"/>
    <col min="11" max="11" width="5.6640625" customWidth="1"/>
    <col min="12" max="12" width="8.5546875" customWidth="1"/>
  </cols>
  <sheetData>
    <row r="1" spans="1:12" x14ac:dyDescent="0.3">
      <c r="H1" t="s">
        <v>2570</v>
      </c>
    </row>
    <row r="2" spans="1:12" x14ac:dyDescent="0.3">
      <c r="I2" t="str">
        <f>B4</f>
        <v>Female</v>
      </c>
      <c r="J2" t="str">
        <f>C4</f>
        <v>Male</v>
      </c>
      <c r="K2" t="str">
        <f>D4</f>
        <v>Other</v>
      </c>
      <c r="L2" t="str">
        <f>E4</f>
        <v>Unknown</v>
      </c>
    </row>
    <row r="3" spans="1:12" x14ac:dyDescent="0.3">
      <c r="A3" s="12" t="s">
        <v>2556</v>
      </c>
      <c r="B3" s="12" t="s">
        <v>2569</v>
      </c>
      <c r="H3" t="str">
        <f>A5</f>
        <v>App</v>
      </c>
      <c r="I3" s="15">
        <f t="shared" ref="I3:L7" si="0">B5</f>
        <v>0.18961825201634841</v>
      </c>
      <c r="J3" s="15">
        <f t="shared" si="0"/>
        <v>0.12262322351336576</v>
      </c>
      <c r="K3" s="15">
        <f t="shared" si="0"/>
        <v>1.060537752469185E-2</v>
      </c>
      <c r="L3" s="15">
        <f t="shared" si="0"/>
        <v>3.0599220547662797E-2</v>
      </c>
    </row>
    <row r="4" spans="1:12" x14ac:dyDescent="0.3">
      <c r="A4" s="12" t="s">
        <v>2552</v>
      </c>
      <c r="B4" t="s">
        <v>2565</v>
      </c>
      <c r="C4" t="s">
        <v>2566</v>
      </c>
      <c r="D4" t="s">
        <v>2567</v>
      </c>
      <c r="E4" t="s">
        <v>2568</v>
      </c>
      <c r="F4" t="s">
        <v>2553</v>
      </c>
      <c r="H4" t="str">
        <f>A6</f>
        <v>Instagram</v>
      </c>
      <c r="I4" s="15">
        <f t="shared" si="0"/>
        <v>5.0283982091147303E-2</v>
      </c>
      <c r="J4" s="15">
        <f t="shared" si="0"/>
        <v>4.3060781812819873E-2</v>
      </c>
      <c r="K4" s="15">
        <f t="shared" si="0"/>
        <v>1.5320025675641944E-3</v>
      </c>
      <c r="L4" s="15">
        <f t="shared" si="0"/>
        <v>1.7794988689097006E-2</v>
      </c>
    </row>
    <row r="5" spans="1:12" x14ac:dyDescent="0.3">
      <c r="A5" s="13" t="s">
        <v>18</v>
      </c>
      <c r="B5" s="14">
        <v>0.18961825201634841</v>
      </c>
      <c r="C5" s="14">
        <v>0.12262322351336576</v>
      </c>
      <c r="D5" s="14">
        <v>1.060537752469185E-2</v>
      </c>
      <c r="E5" s="14">
        <v>3.0599220547662797E-2</v>
      </c>
      <c r="F5" s="14">
        <v>0.35344607360206881</v>
      </c>
      <c r="H5" t="str">
        <f>A7</f>
        <v>Partner App</v>
      </c>
      <c r="I5" s="15">
        <f t="shared" si="0"/>
        <v>6.3496059750411282E-2</v>
      </c>
      <c r="J5" s="15">
        <f t="shared" si="0"/>
        <v>4.6071629863988765E-2</v>
      </c>
      <c r="K5" s="15">
        <f t="shared" si="0"/>
        <v>2.306247051322625E-3</v>
      </c>
      <c r="L5" s="15">
        <f t="shared" si="0"/>
        <v>3.8927934093844286E-3</v>
      </c>
    </row>
    <row r="6" spans="1:12" x14ac:dyDescent="0.3">
      <c r="A6" s="13" t="s">
        <v>51</v>
      </c>
      <c r="B6" s="14">
        <v>5.0283982091147303E-2</v>
      </c>
      <c r="C6" s="14">
        <v>4.3060781812819873E-2</v>
      </c>
      <c r="D6" s="14">
        <v>1.5320025675641944E-3</v>
      </c>
      <c r="E6" s="14">
        <v>1.7794988689097006E-2</v>
      </c>
      <c r="F6" s="14">
        <v>0.11267175516062837</v>
      </c>
      <c r="H6" t="str">
        <f>A8</f>
        <v>Target.com</v>
      </c>
      <c r="I6" s="15">
        <f t="shared" si="0"/>
        <v>9.6337892927149532E-2</v>
      </c>
      <c r="J6" s="15">
        <f t="shared" si="0"/>
        <v>6.7920115842382611E-2</v>
      </c>
      <c r="K6" s="15">
        <f t="shared" si="0"/>
        <v>5.4979832664581261E-3</v>
      </c>
      <c r="L6" s="15">
        <f t="shared" si="0"/>
        <v>1.2933041488102518E-2</v>
      </c>
    </row>
    <row r="7" spans="1:12" x14ac:dyDescent="0.3">
      <c r="A7" s="13" t="s">
        <v>70</v>
      </c>
      <c r="B7" s="14">
        <v>6.3496059750411282E-2</v>
      </c>
      <c r="C7" s="14">
        <v>4.6071629863988765E-2</v>
      </c>
      <c r="D7" s="14">
        <v>2.306247051322625E-3</v>
      </c>
      <c r="E7" s="14">
        <v>3.8927934093844286E-3</v>
      </c>
      <c r="F7" s="14">
        <v>0.11576673007510711</v>
      </c>
      <c r="H7" t="str">
        <f>A9</f>
        <v>Website</v>
      </c>
      <c r="I7" s="15">
        <f t="shared" si="0"/>
        <v>0.12522098709469262</v>
      </c>
      <c r="J7" s="15">
        <f t="shared" si="0"/>
        <v>9.1492740283116228E-2</v>
      </c>
      <c r="K7" s="15">
        <f t="shared" si="0"/>
        <v>6.3042760790965081E-3</v>
      </c>
      <c r="L7" s="15">
        <f t="shared" si="0"/>
        <v>1.2408404181197551E-2</v>
      </c>
    </row>
    <row r="8" spans="1:12" x14ac:dyDescent="0.3">
      <c r="A8" s="13" t="s">
        <v>40</v>
      </c>
      <c r="B8" s="14">
        <v>9.6337892927149532E-2</v>
      </c>
      <c r="C8" s="14">
        <v>6.7920115842382611E-2</v>
      </c>
      <c r="D8" s="14">
        <v>5.4979832664581261E-3</v>
      </c>
      <c r="E8" s="14">
        <v>1.2933041488102518E-2</v>
      </c>
      <c r="F8" s="14">
        <v>0.1826890335240928</v>
      </c>
    </row>
    <row r="9" spans="1:12" x14ac:dyDescent="0.3">
      <c r="A9" s="13" t="s">
        <v>35</v>
      </c>
      <c r="B9" s="14">
        <v>0.12522098709469262</v>
      </c>
      <c r="C9" s="14">
        <v>9.1492740283116228E-2</v>
      </c>
      <c r="D9" s="14">
        <v>6.3042760790965081E-3</v>
      </c>
      <c r="E9" s="14">
        <v>1.2408404181197551E-2</v>
      </c>
      <c r="F9" s="14">
        <v>0.23542640763810288</v>
      </c>
    </row>
    <row r="10" spans="1:12" x14ac:dyDescent="0.3">
      <c r="A10" s="13" t="s">
        <v>2553</v>
      </c>
      <c r="B10" s="14">
        <v>0.52495717387974916</v>
      </c>
      <c r="C10" s="14">
        <v>0.3711684913156732</v>
      </c>
      <c r="D10" s="14">
        <v>2.6245886489133303E-2</v>
      </c>
      <c r="E10" s="14">
        <v>7.7628448315444312E-2</v>
      </c>
      <c r="F10" s="14">
        <v>1</v>
      </c>
    </row>
  </sheetData>
  <conditionalFormatting sqref="H2:L7">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sheetPr codeName="Sheet2"/>
  <dimension ref="A1:O2401"/>
  <sheetViews>
    <sheetView topLeftCell="A2" workbookViewId="0">
      <selection activeCell="D6" sqref="D6"/>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sheetPr codeName="Sheet3"/>
  <dimension ref="B2:B18"/>
  <sheetViews>
    <sheetView workbookViewId="0">
      <selection activeCell="B14" sqref="B14"/>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sheetPr codeName="Sheet4"/>
  <dimension ref="A1"/>
  <sheetViews>
    <sheetView tabSelected="1" zoomScale="66" zoomScaleNormal="66" workbookViewId="0">
      <selection activeCell="AA14" sqref="AA14"/>
    </sheetView>
  </sheetViews>
  <sheetFormatPr defaultRowHeight="14.4" x14ac:dyDescent="0.3"/>
  <cols>
    <col min="1" max="1" width="3.33203125" customWidth="1"/>
    <col min="2" max="2" width="22.21875" customWidth="1"/>
    <col min="3" max="4" width="3.33203125" customWidth="1"/>
    <col min="26" max="26" width="3.3320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sheetPr codeName="Sheet5"/>
  <dimension ref="B2:H24"/>
  <sheetViews>
    <sheetView workbookViewId="0">
      <selection activeCell="B24" sqref="B24"/>
    </sheetView>
  </sheetViews>
  <sheetFormatPr defaultRowHeight="14.4" x14ac:dyDescent="0.3"/>
  <cols>
    <col min="1" max="1" width="3.33203125" customWidth="1"/>
    <col min="8" max="8" width="37.33203125" customWidth="1"/>
  </cols>
  <sheetData>
    <row r="2" spans="2:8" x14ac:dyDescent="0.3">
      <c r="H2" t="s">
        <v>2548</v>
      </c>
    </row>
    <row r="3" spans="2:8" x14ac:dyDescent="0.3">
      <c r="B3" t="s">
        <v>2518</v>
      </c>
    </row>
    <row r="4" spans="2:8" x14ac:dyDescent="0.3">
      <c r="H4" s="11" t="s">
        <v>2549</v>
      </c>
    </row>
    <row r="5" spans="2:8" x14ac:dyDescent="0.3">
      <c r="B5" t="s">
        <v>2519</v>
      </c>
      <c r="H5" s="11" t="s">
        <v>2550</v>
      </c>
    </row>
    <row r="6" spans="2:8" x14ac:dyDescent="0.3">
      <c r="B6" s="5"/>
      <c r="C6" t="s">
        <v>2520</v>
      </c>
      <c r="D6" t="s">
        <v>2526</v>
      </c>
      <c r="H6" t="s">
        <v>2551</v>
      </c>
    </row>
    <row r="7" spans="2:8" x14ac:dyDescent="0.3">
      <c r="B7" s="6"/>
      <c r="C7" t="s">
        <v>2521</v>
      </c>
      <c r="D7" t="s">
        <v>2527</v>
      </c>
    </row>
    <row r="8" spans="2:8" x14ac:dyDescent="0.3">
      <c r="B8" s="7"/>
      <c r="C8" t="s">
        <v>2522</v>
      </c>
      <c r="D8" t="s">
        <v>2528</v>
      </c>
    </row>
    <row r="9" spans="2:8" x14ac:dyDescent="0.3">
      <c r="B9" s="8"/>
      <c r="C9" t="s">
        <v>2523</v>
      </c>
      <c r="D9" t="s">
        <v>2529</v>
      </c>
    </row>
    <row r="10" spans="2:8" x14ac:dyDescent="0.3">
      <c r="B10" s="9"/>
      <c r="C10" t="s">
        <v>2524</v>
      </c>
      <c r="D10" t="s">
        <v>2530</v>
      </c>
    </row>
    <row r="11" spans="2:8" x14ac:dyDescent="0.3">
      <c r="B11" s="2"/>
      <c r="C11" t="s">
        <v>2525</v>
      </c>
      <c r="D11" t="s">
        <v>2531</v>
      </c>
    </row>
    <row r="13" spans="2:8" x14ac:dyDescent="0.3">
      <c r="B13" t="s">
        <v>2532</v>
      </c>
    </row>
    <row r="14" spans="2:8" x14ac:dyDescent="0.3">
      <c r="B14" t="s">
        <v>2533</v>
      </c>
      <c r="C14" t="s">
        <v>2538</v>
      </c>
    </row>
    <row r="15" spans="2:8" x14ac:dyDescent="0.3">
      <c r="B15" t="s">
        <v>2534</v>
      </c>
      <c r="C15" t="s">
        <v>2</v>
      </c>
    </row>
    <row r="16" spans="2:8" x14ac:dyDescent="0.3">
      <c r="B16" t="s">
        <v>2535</v>
      </c>
      <c r="C16" t="s">
        <v>4</v>
      </c>
    </row>
    <row r="17" spans="2:3" x14ac:dyDescent="0.3">
      <c r="B17" t="s">
        <v>2536</v>
      </c>
      <c r="C17" t="s">
        <v>2539</v>
      </c>
    </row>
    <row r="18" spans="2:3" x14ac:dyDescent="0.3">
      <c r="B18" t="s">
        <v>2537</v>
      </c>
      <c r="C18" t="s">
        <v>2540</v>
      </c>
    </row>
    <row r="21" spans="2:3" x14ac:dyDescent="0.3">
      <c r="B21" t="s">
        <v>2541</v>
      </c>
    </row>
    <row r="22" spans="2:3" x14ac:dyDescent="0.3">
      <c r="B22" t="s">
        <v>2542</v>
      </c>
      <c r="C22" t="s">
        <v>2543</v>
      </c>
    </row>
    <row r="23" spans="2:3" x14ac:dyDescent="0.3">
      <c r="B23" t="s">
        <v>2544</v>
      </c>
      <c r="C23" t="s">
        <v>2545</v>
      </c>
    </row>
    <row r="24" spans="2:3" x14ac:dyDescent="0.3">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Pivots</vt:lpstr>
      <vt:lpstr>Pivot for chart2</vt:lpstr>
      <vt:lpstr>Data</vt:lpstr>
      <vt:lpstr>Questions &amp; KPIs</vt:lpstr>
      <vt:lpstr>Dashboard</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BASTIPADU ARAVIND TEJA</cp:lastModifiedBy>
  <dcterms:created xsi:type="dcterms:W3CDTF">2025-06-13T02:42:26Z</dcterms:created>
  <dcterms:modified xsi:type="dcterms:W3CDTF">2025-11-16T12:23:45Z</dcterms:modified>
</cp:coreProperties>
</file>